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codex\作品集\"/>
    </mc:Choice>
  </mc:AlternateContent>
  <bookViews>
    <workbookView windowWidth="28800" windowHeight="12255" activeTab="33"/>
  </bookViews>
  <sheets>
    <sheet name="数据表（勿修改）" sheetId="8" r:id="rId1"/>
    <sheet name="Sheet6" sheetId="15" state="hidden" r:id="rId2"/>
    <sheet name="Sheet7" sheetId="16" state="hidden" r:id="rId3"/>
    <sheet name="Sheet8" sheetId="17" state="hidden" r:id="rId4"/>
    <sheet name="Sheet9" sheetId="18" state="hidden" r:id="rId5"/>
    <sheet name="Sheet10" sheetId="19" state="hidden" r:id="rId6"/>
    <sheet name="Sheet11" sheetId="20" state="hidden" r:id="rId7"/>
    <sheet name="Sheet12" sheetId="21" state="hidden" r:id="rId8"/>
    <sheet name="Sheet13" sheetId="22" state="hidden" r:id="rId9"/>
    <sheet name="Sheet1" sheetId="24" state="hidden" r:id="rId10"/>
    <sheet name="Sheet3" sheetId="26" state="hidden" r:id="rId11"/>
    <sheet name="Sheet4" sheetId="27" state="hidden" r:id="rId12"/>
    <sheet name="Sheet14" sheetId="29" state="hidden" r:id="rId13"/>
    <sheet name="Sheet15" sheetId="31" state="hidden" r:id="rId14"/>
    <sheet name="Sheet16" sheetId="32" state="hidden" r:id="rId15"/>
    <sheet name="Sheet17" sheetId="33" state="hidden" r:id="rId16"/>
    <sheet name="Sheet18" sheetId="34" state="hidden" r:id="rId17"/>
    <sheet name="Sheet2" sheetId="35" state="hidden" r:id="rId18"/>
    <sheet name="Sheet19" sheetId="36" state="hidden" r:id="rId19"/>
    <sheet name="Sheet20" sheetId="37" state="hidden" r:id="rId20"/>
    <sheet name="Sheet21" sheetId="38" state="hidden" r:id="rId21"/>
    <sheet name="Sheet22" sheetId="39" state="hidden" r:id="rId22"/>
    <sheet name="Sheet23" sheetId="40" state="hidden" r:id="rId23"/>
    <sheet name="Sheet24" sheetId="41" state="hidden" r:id="rId24"/>
    <sheet name="Sheet25" sheetId="42" state="hidden" r:id="rId25"/>
    <sheet name="Sheet26" sheetId="43" state="hidden" r:id="rId26"/>
    <sheet name="Sheet27" sheetId="44" state="hidden" r:id="rId27"/>
    <sheet name="Sheet28" sheetId="45" state="hidden" r:id="rId28"/>
    <sheet name="Sheet29" sheetId="46" state="hidden" r:id="rId29"/>
    <sheet name="Sheet30" sheetId="47" state="hidden" r:id="rId30"/>
    <sheet name="Sheet31" sheetId="48" state="hidden" r:id="rId31"/>
    <sheet name="透视表（刷新）" sheetId="14" r:id="rId32"/>
    <sheet name="Sheet5" sheetId="28" state="hidden" r:id="rId33"/>
    <sheet name="项目看板" sheetId="12" r:id="rId34"/>
  </sheets>
  <definedNames>
    <definedName name="_xlnm._FilterDatabase" localSheetId="0" hidden="1">'数据表（勿修改）'!$A$1:$D$193</definedName>
    <definedName name="切片器_项目名1">#N/A</definedName>
  </definedNames>
  <calcPr calcId="191029"/>
  <pivotCaches>
    <pivotCache cacheId="0" r:id="rId35"/>
  </pivotCaches>
  <extLst>
    <ext xmlns:x14="http://schemas.microsoft.com/office/spreadsheetml/2009/9/main" uri="{BBE1A952-AA13-448e-AADC-164F8A28A991}">
      <x14:slicerCaches>
        <x14:slicerCache r:id="rId3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Shi, Xiang(XIZIIPARK-施翔)</author>
  </authors>
  <commentList>
    <comment ref="M39" authorId="0">
      <text>
        <r>
          <rPr>
            <b/>
            <sz val="9"/>
            <rFont val="宋体"/>
            <charset val="134"/>
          </rPr>
          <t xml:space="preserve">=0.5*3*360*0.5*车位数
</t>
        </r>
        <r>
          <rPr>
            <sz val="9"/>
            <rFont val="宋体"/>
            <charset val="134"/>
          </rPr>
          <t xml:space="preserve">
</t>
        </r>
      </text>
    </comment>
    <comment ref="N39" authorId="0">
      <text>
        <r>
          <rPr>
            <b/>
            <sz val="9"/>
            <rFont val="宋体"/>
            <charset val="134"/>
          </rPr>
          <t>PSH:60元/车
PCS:90元/车</t>
        </r>
        <r>
          <rPr>
            <sz val="9"/>
            <rFont val="宋体"/>
            <charset val="134"/>
          </rPr>
          <t xml:space="preserve">
</t>
        </r>
      </text>
    </comment>
    <comment ref="O39" authorId="0">
      <text>
        <r>
          <rPr>
            <b/>
            <sz val="9"/>
            <rFont val="宋体"/>
            <charset val="134"/>
          </rPr>
          <t>75元/车/年</t>
        </r>
        <r>
          <rPr>
            <sz val="9"/>
            <rFont val="宋体"/>
            <charset val="134"/>
          </rPr>
          <t xml:space="preserve">
</t>
        </r>
      </text>
    </comment>
    <comment ref="P39" authorId="0">
      <text>
        <r>
          <rPr>
            <b/>
            <sz val="9"/>
            <rFont val="宋体"/>
            <charset val="134"/>
          </rPr>
          <t>十年以上才考虑，每年设备总价的10%</t>
        </r>
        <r>
          <rPr>
            <sz val="9"/>
            <rFont val="宋体"/>
            <charset val="134"/>
          </rPr>
          <t xml:space="preserve">
</t>
        </r>
      </text>
    </comment>
    <comment ref="P42" authorId="0">
      <text>
        <r>
          <rPr>
            <b/>
            <sz val="9"/>
            <rFont val="宋体"/>
            <charset val="134"/>
          </rPr>
          <t xml:space="preserve">如不分成
默认为“1”
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<sst xmlns="http://schemas.openxmlformats.org/spreadsheetml/2006/main" count="1645" uniqueCount="90">
  <si>
    <t>年份</t>
  </si>
  <si>
    <t>月份</t>
  </si>
  <si>
    <t>项目名</t>
  </si>
  <si>
    <t>临停收入</t>
  </si>
  <si>
    <t>总收入</t>
  </si>
  <si>
    <t>车位数</t>
  </si>
  <si>
    <t>收费标准</t>
  </si>
  <si>
    <t>测算项目预测收入</t>
  </si>
  <si>
    <t>彩诗（公共+办公）</t>
  </si>
  <si>
    <t>P+R（办公+换乘）</t>
  </si>
  <si>
    <t>王道公园（公共+办公）</t>
  </si>
  <si>
    <t>东河路8号（医院）</t>
  </si>
  <si>
    <t>杭州市肿瘤（医院）</t>
  </si>
  <si>
    <t>宏丰家具城（商业）</t>
  </si>
  <si>
    <t>民航大厦（公共+办公）</t>
  </si>
  <si>
    <t>安吉城市级（道路）</t>
  </si>
  <si>
    <t>安吉城市级（停车场）</t>
  </si>
  <si>
    <t>上海胸科（医院）</t>
  </si>
  <si>
    <t>南国丽景（公共+小区）</t>
  </si>
  <si>
    <t>纽约纽约（公共+小区）</t>
  </si>
  <si>
    <t>宁波冠宇（商业）</t>
  </si>
  <si>
    <t>创意园（公共+办公）</t>
  </si>
  <si>
    <t>宁海西子国际（商业3小时免费）</t>
  </si>
  <si>
    <t>杭州百货大楼（商业）</t>
  </si>
  <si>
    <t>项目区域</t>
  </si>
  <si>
    <t>项目经理</t>
  </si>
  <si>
    <t>代金券收入</t>
  </si>
  <si>
    <t>包月收入</t>
  </si>
  <si>
    <t>去年总收入</t>
  </si>
  <si>
    <t>增长率</t>
  </si>
  <si>
    <t>杭州</t>
  </si>
  <si>
    <t>岑建强</t>
  </si>
  <si>
    <t>王道公园</t>
  </si>
  <si>
    <t>刘东风</t>
  </si>
  <si>
    <t>P+R</t>
  </si>
  <si>
    <t>彩诗</t>
  </si>
  <si>
    <t>预测收入</t>
  </si>
  <si>
    <t>东河路8号</t>
  </si>
  <si>
    <t>翰林花园</t>
  </si>
  <si>
    <t>市肿瘤医院</t>
  </si>
  <si>
    <t>宏丰家具城</t>
  </si>
  <si>
    <t>民航大厦</t>
  </si>
  <si>
    <t>安吉城市级项目</t>
  </si>
  <si>
    <t>晨光家园</t>
  </si>
  <si>
    <t>上海胸科</t>
  </si>
  <si>
    <t>南国丽景</t>
  </si>
  <si>
    <t>纽约纽约</t>
  </si>
  <si>
    <t>彩诗（办公+商业）</t>
  </si>
  <si>
    <t>王道公园（办公）</t>
  </si>
  <si>
    <t>市肿瘤（医院）</t>
  </si>
  <si>
    <t>民航大厦（办公+商业）</t>
  </si>
  <si>
    <t>安吉（城市级）</t>
  </si>
  <si>
    <t>南国丽景（商业+小区）</t>
  </si>
  <si>
    <t>纽约纽约（商业+小区）</t>
  </si>
  <si>
    <t>行标签</t>
  </si>
  <si>
    <t>求和项:测算项目预测收入</t>
  </si>
  <si>
    <t>左
侧
表
格
点
击
刷
新</t>
  </si>
  <si>
    <t>总计</t>
  </si>
  <si>
    <t>单车位收入</t>
  </si>
  <si>
    <r>
      <rPr>
        <b/>
        <sz val="14"/>
        <color rgb="FF0070C0"/>
        <rFont val="微软雅黑"/>
        <charset val="134"/>
      </rPr>
      <t>请在下方输入测算信息</t>
    </r>
    <r>
      <rPr>
        <b/>
        <sz val="12"/>
        <color rgb="FF0070C0"/>
        <rFont val="微软雅黑"/>
        <charset val="134"/>
      </rPr>
      <t>（停车场收入可单独测算）</t>
    </r>
  </si>
  <si>
    <t>收
入
数
据</t>
  </si>
  <si>
    <t>车位数
（个）</t>
  </si>
  <si>
    <t>收费标准
（元/小时）</t>
  </si>
  <si>
    <t>收入系数调整
（建议调整范围
0.5~1.5）</t>
  </si>
  <si>
    <t>投
资
数
据</t>
  </si>
  <si>
    <t>项目
投建</t>
  </si>
  <si>
    <t>机械库</t>
  </si>
  <si>
    <t>土建</t>
  </si>
  <si>
    <t>智能系统</t>
  </si>
  <si>
    <t>土地出让金</t>
  </si>
  <si>
    <t>其它费用</t>
  </si>
  <si>
    <t>/</t>
  </si>
  <si>
    <t>投建合计成本</t>
  </si>
  <si>
    <t>项目
运营</t>
  </si>
  <si>
    <t>管理人员</t>
  </si>
  <si>
    <t>电费</t>
  </si>
  <si>
    <t>维保</t>
  </si>
  <si>
    <t>年检</t>
  </si>
  <si>
    <t>大修</t>
  </si>
  <si>
    <t>其他费用</t>
  </si>
  <si>
    <t>运营合计成本</t>
  </si>
  <si>
    <t>其它
参数</t>
  </si>
  <si>
    <t>经营税费</t>
  </si>
  <si>
    <t>折现率</t>
  </si>
  <si>
    <t>收益分成比</t>
  </si>
  <si>
    <t>上浮率</t>
  </si>
  <si>
    <t>收入分成</t>
  </si>
  <si>
    <t>收益分成</t>
  </si>
  <si>
    <t>备注</t>
  </si>
  <si>
    <t>调整收入数据后，需在透视表中选择刷新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</si>
</sst>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#,##0.0_ "/>
    <numFmt numFmtId="178" formatCode="0.00_ "/>
  </numFmts>
  <fonts count="33">
    <font>
      <sz val="11"/>
      <color theme="1"/>
      <name val="等线"/>
      <charset val="134"/>
      <scheme val="minor"/>
    </font>
    <font>
      <b/>
      <sz val="16"/>
      <color theme="4"/>
      <name val="微软雅黑"/>
      <charset val="134"/>
    </font>
    <font>
      <b/>
      <sz val="11"/>
      <color theme="4"/>
      <name val="微软雅黑"/>
      <charset val="134"/>
    </font>
    <font>
      <sz val="11"/>
      <color theme="4"/>
      <name val="微软雅黑"/>
      <charset val="134"/>
    </font>
    <font>
      <b/>
      <sz val="14"/>
      <color rgb="FF0070C0"/>
      <name val="微软雅黑"/>
      <charset val="134"/>
    </font>
    <font>
      <b/>
      <sz val="14"/>
      <color theme="1"/>
      <name val="微软雅黑"/>
      <charset val="134"/>
    </font>
    <font>
      <b/>
      <sz val="22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sz val="11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0070C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9" fillId="7" borderId="0" xfId="0" applyFont="1" applyFill="1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0" fillId="0" borderId="0" xfId="0" applyNumberFormat="1">
      <alignment vertical="center"/>
    </xf>
    <xf numFmtId="43" fontId="0" fillId="0" borderId="0" xfId="49" applyFont="1" applyBorder="1" applyAlignment="1">
      <alignment horizontal="center" vertical="center"/>
    </xf>
    <xf numFmtId="43" fontId="0" fillId="0" borderId="1" xfId="49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11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microsoft.com/office/2007/relationships/slicerCache" Target="slicerCaches/slicerCache1.xml"/><Relationship Id="rId35" Type="http://schemas.openxmlformats.org/officeDocument/2006/relationships/pivotCacheDefinition" Target="pivotCache/pivotCacheDefinition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2000">
                <a:latin typeface="微软雅黑" panose="020B0503020204020204" pitchFamily="34" charset="-122"/>
                <a:ea typeface="微软雅黑" panose="020B0503020204020204" pitchFamily="34" charset="-122"/>
              </a:rPr>
              <a:t>预测项目</a:t>
            </a:r>
            <a:r>
              <a:rPr lang="zh-CN" altLang="en-US" sz="2000">
                <a:solidFill>
                  <a:schemeClr val="accent2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月收入</a:t>
            </a:r>
            <a:r>
              <a:rPr lang="zh-CN" altLang="en-US" sz="1400">
                <a:solidFill>
                  <a:schemeClr val="accent2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（万元</a:t>
            </a:r>
            <a:r>
              <a:rPr lang="en-US" altLang="zh-CN" sz="1400">
                <a:solidFill>
                  <a:schemeClr val="accent2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/</a:t>
            </a:r>
            <a:r>
              <a:rPr lang="zh-CN" altLang="en-US" sz="1400">
                <a:solidFill>
                  <a:schemeClr val="accent2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月）</a:t>
            </a:r>
            <a:endParaRPr lang="zh-CN" altLang="en-US" sz="140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'透视表（刷新）'!$A$24:$A$35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'透视表（刷新）'!$B$24:$B$35</c:f>
              <c:numCache>
                <c:formatCode>0.00_ </c:formatCode>
                <c:ptCount val="12"/>
                <c:pt idx="0">
                  <c:v>20.1856235294118</c:v>
                </c:pt>
                <c:pt idx="1">
                  <c:v>34.0968941176471</c:v>
                </c:pt>
                <c:pt idx="2">
                  <c:v>30.2714117647059</c:v>
                </c:pt>
                <c:pt idx="3">
                  <c:v>32.7380752941176</c:v>
                </c:pt>
                <c:pt idx="4">
                  <c:v>33.0171435294118</c:v>
                </c:pt>
                <c:pt idx="5">
                  <c:v>43.9495011764706</c:v>
                </c:pt>
                <c:pt idx="6">
                  <c:v>31.7345346823529</c:v>
                </c:pt>
                <c:pt idx="7">
                  <c:v>38.5148205411765</c:v>
                </c:pt>
                <c:pt idx="8">
                  <c:v>34.8015142541176</c:v>
                </c:pt>
                <c:pt idx="9">
                  <c:v>35.1657217129412</c:v>
                </c:pt>
                <c:pt idx="10">
                  <c:v>34.3716817458823</c:v>
                </c:pt>
                <c:pt idx="11">
                  <c:v>31.6322477458823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52894879"/>
        <c:axId val="363850431"/>
      </c:barChart>
      <c:catAx>
        <c:axId val="55289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3850431"/>
        <c:crosses val="autoZero"/>
        <c:auto val="1"/>
        <c:lblAlgn val="ctr"/>
        <c:lblOffset val="100"/>
        <c:noMultiLvlLbl val="0"/>
      </c:catAx>
      <c:valAx>
        <c:axId val="36385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2894879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ecc1aa-f152-4656-8692-a7482985c3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25400" dist="38100" dir="2700000" algn="tl" rotWithShape="0">
        <a:schemeClr val="tx1">
          <a:lumMod val="50000"/>
          <a:lumOff val="50000"/>
          <a:alpha val="40000"/>
        </a:schemeClr>
      </a:outerShdw>
    </a:effectLst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438150</xdr:colOff>
      <xdr:row>13</xdr:row>
      <xdr:rowOff>114300</xdr:rowOff>
    </xdr:from>
    <xdr:to>
      <xdr:col>26</xdr:col>
      <xdr:colOff>552450</xdr:colOff>
      <xdr:row>22</xdr:row>
      <xdr:rowOff>76200</xdr:rowOff>
    </xdr:to>
    <xdr:sp>
      <xdr:nvSpPr>
        <xdr:cNvPr id="20" name="矩形: 圆角 19"/>
        <xdr:cNvSpPr/>
      </xdr:nvSpPr>
      <xdr:spPr>
        <a:xfrm>
          <a:off x="15440025" y="2466975"/>
          <a:ext cx="4505325" cy="1590675"/>
        </a:xfrm>
        <a:prstGeom prst="roundRect">
          <a:avLst/>
        </a:prstGeom>
        <a:solidFill>
          <a:schemeClr val="accent2"/>
        </a:solidFill>
        <a:ln>
          <a:solidFill>
            <a:schemeClr val="bg1"/>
          </a:solidFill>
        </a:ln>
        <a:effectLst>
          <a:outerShdw blurRad="152400" dist="50800" dir="5400000" algn="ctr" rotWithShape="0">
            <a:schemeClr val="tx1"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0</xdr:col>
      <xdr:colOff>9525</xdr:colOff>
      <xdr:row>0</xdr:row>
      <xdr:rowOff>19050</xdr:rowOff>
    </xdr:from>
    <xdr:to>
      <xdr:col>27</xdr:col>
      <xdr:colOff>9524</xdr:colOff>
      <xdr:row>3</xdr:row>
      <xdr:rowOff>9524</xdr:rowOff>
    </xdr:to>
    <xdr:sp>
      <xdr:nvSpPr>
        <xdr:cNvPr id="2" name="矩形 1"/>
        <xdr:cNvSpPr/>
      </xdr:nvSpPr>
      <xdr:spPr>
        <a:xfrm>
          <a:off x="9525" y="19050"/>
          <a:ext cx="20078065" cy="5327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152400</xdr:colOff>
      <xdr:row>0</xdr:row>
      <xdr:rowOff>76199</xdr:rowOff>
    </xdr:from>
    <xdr:to>
      <xdr:col>15</xdr:col>
      <xdr:colOff>666750</xdr:colOff>
      <xdr:row>2</xdr:row>
      <xdr:rowOff>104774</xdr:rowOff>
    </xdr:to>
    <xdr:sp>
      <xdr:nvSpPr>
        <xdr:cNvPr id="3" name="文本框 2"/>
        <xdr:cNvSpPr txBox="1"/>
      </xdr:nvSpPr>
      <xdr:spPr>
        <a:xfrm>
          <a:off x="7381875" y="75565"/>
          <a:ext cx="427672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6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停车场项目收入、投资回报预测表</a:t>
          </a:r>
          <a:r>
            <a:rPr lang="en-US" altLang="zh-CN" sz="11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V2.0</a:t>
          </a:r>
          <a:endParaRPr lang="zh-CN" altLang="en-US" sz="11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0</xdr:col>
      <xdr:colOff>19050</xdr:colOff>
      <xdr:row>3</xdr:row>
      <xdr:rowOff>57149</xdr:rowOff>
    </xdr:from>
    <xdr:to>
      <xdr:col>4</xdr:col>
      <xdr:colOff>152400</xdr:colOff>
      <xdr:row>26</xdr:row>
      <xdr:rowOff>76199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项目名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项目名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599440"/>
              <a:ext cx="2876550" cy="4181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>
    <xdr:from>
      <xdr:col>20</xdr:col>
      <xdr:colOff>666750</xdr:colOff>
      <xdr:row>15</xdr:row>
      <xdr:rowOff>57150</xdr:rowOff>
    </xdr:from>
    <xdr:to>
      <xdr:col>26</xdr:col>
      <xdr:colOff>238125</xdr:colOff>
      <xdr:row>24</xdr:row>
      <xdr:rowOff>0</xdr:rowOff>
    </xdr:to>
    <xdr:sp textlink="'透视表（刷新）'!B21">
      <xdr:nvSpPr>
        <xdr:cNvPr id="23" name="文本框 22"/>
        <xdr:cNvSpPr txBox="1"/>
      </xdr:nvSpPr>
      <xdr:spPr>
        <a:xfrm>
          <a:off x="15668625" y="2771775"/>
          <a:ext cx="3962400" cy="1571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79E1887-2424-457A-A016-87C2108F9DAB}" type="TxLink">
            <a:rPr lang="en-US" altLang="en-US" sz="4800" b="1" i="0" u="none" strike="noStrike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400.5 </a:t>
          </a:fld>
          <a:endParaRPr lang="en-US" altLang="en-US" sz="4800" b="1" i="0" u="none" strike="noStrike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20</xdr:col>
      <xdr:colOff>590550</xdr:colOff>
      <xdr:row>14</xdr:row>
      <xdr:rowOff>57150</xdr:rowOff>
    </xdr:from>
    <xdr:to>
      <xdr:col>25</xdr:col>
      <xdr:colOff>361950</xdr:colOff>
      <xdr:row>17</xdr:row>
      <xdr:rowOff>171449</xdr:rowOff>
    </xdr:to>
    <xdr:sp>
      <xdr:nvSpPr>
        <xdr:cNvPr id="18" name="文本框 17"/>
        <xdr:cNvSpPr txBox="1"/>
      </xdr:nvSpPr>
      <xdr:spPr>
        <a:xfrm>
          <a:off x="15592425" y="2590800"/>
          <a:ext cx="3476625" cy="656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2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预测年收入</a:t>
          </a:r>
          <a:r>
            <a:rPr lang="zh-CN" altLang="en-US" sz="16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（万元</a:t>
          </a:r>
          <a:r>
            <a:rPr lang="en-US" altLang="zh-CN" sz="16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/</a:t>
          </a:r>
          <a:r>
            <a:rPr lang="zh-CN" altLang="en-US" sz="16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年）</a:t>
          </a:r>
          <a:endParaRPr lang="zh-CN" altLang="en-US" sz="16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247650</xdr:colOff>
      <xdr:row>3</xdr:row>
      <xdr:rowOff>57149</xdr:rowOff>
    </xdr:from>
    <xdr:to>
      <xdr:col>20</xdr:col>
      <xdr:colOff>76200</xdr:colOff>
      <xdr:row>33</xdr:row>
      <xdr:rowOff>9525</xdr:rowOff>
    </xdr:to>
    <xdr:graphicFrame>
      <xdr:nvGraphicFramePr>
        <xdr:cNvPr id="4" name="图表 3"/>
        <xdr:cNvGraphicFramePr/>
      </xdr:nvGraphicFramePr>
      <xdr:xfrm>
        <a:off x="2990850" y="599440"/>
        <a:ext cx="12087225" cy="5410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419100</xdr:colOff>
      <xdr:row>3</xdr:row>
      <xdr:rowOff>57150</xdr:rowOff>
    </xdr:from>
    <xdr:to>
      <xdr:col>26</xdr:col>
      <xdr:colOff>533400</xdr:colOff>
      <xdr:row>12</xdr:row>
      <xdr:rowOff>133350</xdr:rowOff>
    </xdr:to>
    <xdr:sp>
      <xdr:nvSpPr>
        <xdr:cNvPr id="5" name="矩形: 圆角 4"/>
        <xdr:cNvSpPr/>
      </xdr:nvSpPr>
      <xdr:spPr>
        <a:xfrm>
          <a:off x="15420975" y="600075"/>
          <a:ext cx="4505325" cy="1704975"/>
        </a:xfrm>
        <a:prstGeom prst="roundRect">
          <a:avLst/>
        </a:prstGeom>
        <a:solidFill>
          <a:srgbClr val="92D050"/>
        </a:solidFill>
        <a:ln>
          <a:solidFill>
            <a:schemeClr val="bg1"/>
          </a:solidFill>
        </a:ln>
        <a:effectLst>
          <a:outerShdw blurRad="152400" dist="50800" dir="5400000" algn="ctr" rotWithShape="0">
            <a:schemeClr val="tx1"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21</xdr:col>
      <xdr:colOff>38100</xdr:colOff>
      <xdr:row>5</xdr:row>
      <xdr:rowOff>57150</xdr:rowOff>
    </xdr:from>
    <xdr:to>
      <xdr:col>26</xdr:col>
      <xdr:colOff>295275</xdr:colOff>
      <xdr:row>14</xdr:row>
      <xdr:rowOff>28575</xdr:rowOff>
    </xdr:to>
    <xdr:sp textlink="'透视表（刷新）'!B38">
      <xdr:nvSpPr>
        <xdr:cNvPr id="6" name="文本框 5"/>
        <xdr:cNvSpPr txBox="1"/>
      </xdr:nvSpPr>
      <xdr:spPr>
        <a:xfrm>
          <a:off x="15725775" y="962025"/>
          <a:ext cx="3962400" cy="160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EBF86F0-813A-4F8A-8FCA-36680F810638}" type="TxLink">
            <a:rPr lang="en-US" altLang="en-US" sz="4800" b="1" i="0" u="none" strike="noStrike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27.6 </a:t>
          </a:fld>
          <a:endParaRPr lang="en-US" altLang="en-US" sz="4800" b="1" i="0" u="none" strike="noStrike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20</xdr:col>
      <xdr:colOff>571500</xdr:colOff>
      <xdr:row>3</xdr:row>
      <xdr:rowOff>114300</xdr:rowOff>
    </xdr:from>
    <xdr:to>
      <xdr:col>25</xdr:col>
      <xdr:colOff>342900</xdr:colOff>
      <xdr:row>7</xdr:row>
      <xdr:rowOff>47624</xdr:rowOff>
    </xdr:to>
    <xdr:sp>
      <xdr:nvSpPr>
        <xdr:cNvPr id="7" name="文本框 6"/>
        <xdr:cNvSpPr txBox="1"/>
      </xdr:nvSpPr>
      <xdr:spPr>
        <a:xfrm>
          <a:off x="15573375" y="657225"/>
          <a:ext cx="3476625" cy="656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2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单车位收入</a:t>
          </a:r>
          <a:r>
            <a:rPr lang="zh-CN" altLang="en-US" sz="16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（元</a:t>
          </a:r>
          <a:r>
            <a:rPr lang="en-US" altLang="zh-CN" sz="16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/</a:t>
          </a:r>
          <a:r>
            <a:rPr lang="zh-CN" altLang="en-US" sz="16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天）</a:t>
          </a:r>
          <a:endParaRPr lang="zh-CN" altLang="en-US" sz="16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22</xdr:col>
      <xdr:colOff>180975</xdr:colOff>
      <xdr:row>0</xdr:row>
      <xdr:rowOff>76200</xdr:rowOff>
    </xdr:from>
    <xdr:to>
      <xdr:col>27</xdr:col>
      <xdr:colOff>9525</xdr:colOff>
      <xdr:row>2</xdr:row>
      <xdr:rowOff>104775</xdr:rowOff>
    </xdr:to>
    <xdr:sp>
      <xdr:nvSpPr>
        <xdr:cNvPr id="8" name="文本框 15"/>
        <xdr:cNvSpPr txBox="1"/>
      </xdr:nvSpPr>
      <xdr:spPr>
        <a:xfrm>
          <a:off x="16830675" y="76200"/>
          <a:ext cx="325755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XIZI </a:t>
          </a:r>
          <a:r>
            <a:rPr lang="zh-CN" altLang="en-US" sz="16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施翔</a:t>
          </a:r>
          <a:endParaRPr lang="zh-CN" altLang="en-US" sz="16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20</xdr:col>
      <xdr:colOff>488573</xdr:colOff>
      <xdr:row>23</xdr:row>
      <xdr:rowOff>145509</xdr:rowOff>
    </xdr:from>
    <xdr:to>
      <xdr:col>26</xdr:col>
      <xdr:colOff>602873</xdr:colOff>
      <xdr:row>33</xdr:row>
      <xdr:rowOff>11706</xdr:rowOff>
    </xdr:to>
    <xdr:sp>
      <xdr:nvSpPr>
        <xdr:cNvPr id="9" name="矩形: 圆角 8"/>
        <xdr:cNvSpPr/>
      </xdr:nvSpPr>
      <xdr:spPr>
        <a:xfrm>
          <a:off x="15490190" y="4307840"/>
          <a:ext cx="4505325" cy="1704340"/>
        </a:xfrm>
        <a:prstGeom prst="roundRect">
          <a:avLst/>
        </a:prstGeom>
        <a:solidFill>
          <a:srgbClr val="00B0F0"/>
        </a:solidFill>
        <a:ln>
          <a:solidFill>
            <a:schemeClr val="bg1"/>
          </a:solidFill>
        </a:ln>
        <a:effectLst>
          <a:outerShdw blurRad="152400" dist="50800" dir="5400000" algn="ctr" rotWithShape="0">
            <a:schemeClr val="tx1"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21</xdr:col>
      <xdr:colOff>326648</xdr:colOff>
      <xdr:row>27</xdr:row>
      <xdr:rowOff>126459</xdr:rowOff>
    </xdr:from>
    <xdr:to>
      <xdr:col>26</xdr:col>
      <xdr:colOff>583823</xdr:colOff>
      <xdr:row>32</xdr:row>
      <xdr:rowOff>155034</xdr:rowOff>
    </xdr:to>
    <xdr:sp textlink="$W$31">
      <xdr:nvSpPr>
        <xdr:cNvPr id="10" name="文本框 9"/>
        <xdr:cNvSpPr txBox="1"/>
      </xdr:nvSpPr>
      <xdr:spPr>
        <a:xfrm>
          <a:off x="16014065" y="5012690"/>
          <a:ext cx="3962400" cy="962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2EDF5D8-E480-4DDC-89E6-913FE273C45E}" type="TxLink">
            <a:rPr lang="en-US" altLang="en-US" sz="4800" b="1" i="0" u="none" strike="noStrike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4.9 </a:t>
          </a:fld>
          <a:endParaRPr lang="en-US" altLang="en-US" sz="4800" b="1" i="0" u="none" strike="noStrike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20</xdr:col>
      <xdr:colOff>640973</xdr:colOff>
      <xdr:row>24</xdr:row>
      <xdr:rowOff>21230</xdr:rowOff>
    </xdr:from>
    <xdr:to>
      <xdr:col>25</xdr:col>
      <xdr:colOff>412373</xdr:colOff>
      <xdr:row>27</xdr:row>
      <xdr:rowOff>135983</xdr:rowOff>
    </xdr:to>
    <xdr:sp>
      <xdr:nvSpPr>
        <xdr:cNvPr id="11" name="文本框 10"/>
        <xdr:cNvSpPr txBox="1"/>
      </xdr:nvSpPr>
      <xdr:spPr>
        <a:xfrm>
          <a:off x="15642590" y="4364355"/>
          <a:ext cx="3476625" cy="657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2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投资回报年限</a:t>
          </a:r>
          <a:r>
            <a:rPr lang="zh-CN" altLang="en-US" sz="16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（年）</a:t>
          </a:r>
          <a:endParaRPr lang="zh-CN" altLang="en-US" sz="16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537.3534428241" refreshedBy="Shi, Xiang(XIZIIPARK-施翔)" recordCount="192">
  <cacheSource type="worksheet">
    <worksheetSource ref="A1:H193" sheet="数据表（勿修改）"/>
  </cacheSource>
  <cacheFields count="13">
    <cacheField name="年份" numFmtId="0"/>
    <cacheField name="月份" numFmtId="0">
      <sharedItems containsSemiMixedTypes="0" containsString="0" containsNumber="1" containsInteger="1" minValue="0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项目名" numFmtId="0">
      <sharedItems count="18">
        <s v="彩诗（公共+办公）"/>
        <s v="P+R（办公+换乘）"/>
        <s v="王道公园（公共+办公）"/>
        <s v="东河路8号（医院）"/>
        <s v="杭州市肿瘤（医院）"/>
        <s v="宏丰家具城（商业）"/>
        <s v="民航大厦（公共+办公）"/>
        <s v="安吉城市级（道路）"/>
        <s v="安吉城市级（停车场）"/>
        <s v="上海胸科（医院）"/>
        <s v="南国丽景（公共+小区）"/>
        <s v="纽约纽约（公共+小区）"/>
        <s v="宁波冠宇（商业）"/>
        <s v="创意园（公共+办公）"/>
        <s v="宁海西子国际（商业3小时免费）"/>
        <s v="杭州百货大楼（商业）"/>
        <s v="宁海西子国际（商业3小时免）" u="1"/>
        <s v="王道公园（办公）" u="1"/>
      </sharedItems>
    </cacheField>
    <cacheField name="临停收入" numFmtId="0"/>
    <cacheField name="总收入" numFmtId="0"/>
    <cacheField name="车位数" numFmtId="0"/>
    <cacheField name="收费标准" numFmtId="0"/>
    <cacheField name="测算项目预测收入" numFmtId="43"/>
    <cacheField name="实际增长率" numFmtId="0" formula="(总收入-#NAME?)/#NAME?" databaseField="0"/>
    <cacheField name="字段1" numFmtId="0" formula="年份" databaseField="0"/>
    <cacheField name="字段2" numFmtId="0" formula="0" databaseField="0"/>
    <cacheField name="字段3" numFmtId="0" formula="0" databaseField="0"/>
    <cacheField name="实时增长率" numFmtId="0" formula="(总收入-#NAME?)/#NAME?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n v="2022"/>
    <x v="0"/>
    <x v="0"/>
    <n v="115976"/>
    <n v="343526"/>
    <n v="181"/>
    <n v="4"/>
    <n v="755377.61325966858"/>
  </r>
  <r>
    <n v="2022"/>
    <x v="1"/>
    <x v="0"/>
    <n v="163640"/>
    <n v="409588"/>
    <n v="181"/>
    <n v="4"/>
    <n v="900641.01657458569"/>
  </r>
  <r>
    <n v="2022"/>
    <x v="2"/>
    <x v="0"/>
    <n v="120392"/>
    <n v="380016"/>
    <n v="181"/>
    <n v="4"/>
    <n v="835615.29281767958"/>
  </r>
  <r>
    <n v="2022"/>
    <x v="3"/>
    <x v="0"/>
    <n v="95148"/>
    <n v="237098"/>
    <n v="181"/>
    <n v="4"/>
    <n v="521353.61325966852"/>
  </r>
  <r>
    <n v="2022"/>
    <x v="4"/>
    <x v="0"/>
    <n v="90992"/>
    <n v="210292"/>
    <n v="181"/>
    <n v="4"/>
    <n v="462410.03314917127"/>
  </r>
  <r>
    <n v="2022"/>
    <x v="5"/>
    <x v="0"/>
    <n v="130324"/>
    <n v="257524"/>
    <n v="181"/>
    <n v="4"/>
    <n v="566268.24309392262"/>
  </r>
  <r>
    <n v="2022"/>
    <x v="6"/>
    <x v="0"/>
    <n v="83576"/>
    <n v="88135.79"/>
    <n v="181"/>
    <n v="4"/>
    <n v="193801.35038674032"/>
  </r>
  <r>
    <n v="2022"/>
    <x v="7"/>
    <x v="0"/>
    <n v="95972"/>
    <n v="152378.04"/>
    <n v="181"/>
    <n v="4"/>
    <n v="335063.31447513815"/>
  </r>
  <r>
    <n v="2022"/>
    <x v="8"/>
    <x v="0"/>
    <n v="108712"/>
    <n v="297813.94"/>
    <n v="181"/>
    <n v="4"/>
    <n v="654861.59182320442"/>
  </r>
  <r>
    <n v="2022"/>
    <x v="9"/>
    <x v="0"/>
    <n v="105428"/>
    <n v="304473.37"/>
    <n v="181"/>
    <n v="4"/>
    <n v="669504.97933701659"/>
  </r>
  <r>
    <n v="2022"/>
    <x v="10"/>
    <x v="0"/>
    <n v="112848"/>
    <n v="285404.14"/>
    <n v="181"/>
    <n v="4"/>
    <n v="627573.74430939229"/>
  </r>
  <r>
    <n v="2022"/>
    <x v="11"/>
    <x v="0"/>
    <n v="101956"/>
    <n v="261780.17"/>
    <n v="181"/>
    <n v="4"/>
    <n v="575627.11414364644"/>
  </r>
  <r>
    <n v="2022"/>
    <x v="0"/>
    <x v="1"/>
    <n v="44407.44"/>
    <n v="78786.789999999994"/>
    <n v="369"/>
    <n v="5"/>
    <n v="67982.964596205959"/>
  </r>
  <r>
    <n v="2022"/>
    <x v="1"/>
    <x v="1"/>
    <n v="60783.79"/>
    <n v="107164.79"/>
    <n v="369"/>
    <n v="5"/>
    <n v="92469.564054200528"/>
  </r>
  <r>
    <n v="2022"/>
    <x v="2"/>
    <x v="1"/>
    <n v="54247.98"/>
    <n v="100513.98"/>
    <n v="369"/>
    <n v="5"/>
    <n v="86730.762146341469"/>
  </r>
  <r>
    <n v="2022"/>
    <x v="3"/>
    <x v="1"/>
    <n v="59647.28"/>
    <n v="106995.28"/>
    <n v="369"/>
    <n v="5"/>
    <n v="92323.298514905153"/>
  </r>
  <r>
    <n v="2022"/>
    <x v="4"/>
    <x v="1"/>
    <n v="61188.01"/>
    <n v="118610.01"/>
    <n v="369"/>
    <n v="5"/>
    <n v="102345.33112195121"/>
  </r>
  <r>
    <n v="2022"/>
    <x v="5"/>
    <x v="1"/>
    <n v="75321.210000000006"/>
    <n v="136356.21"/>
    <n v="369"/>
    <n v="5"/>
    <n v="117658.04136585364"/>
  </r>
  <r>
    <n v="2022"/>
    <x v="6"/>
    <x v="1"/>
    <n v="58195.01"/>
    <n v="56067.09"/>
    <n v="369"/>
    <n v="5"/>
    <n v="48378.757333333335"/>
  </r>
  <r>
    <n v="2022"/>
    <x v="7"/>
    <x v="1"/>
    <n v="70057.570000000007"/>
    <n v="121633.64"/>
    <n v="369"/>
    <n v="5"/>
    <n v="104954.33868834689"/>
  </r>
  <r>
    <n v="2022"/>
    <x v="8"/>
    <x v="1"/>
    <n v="61977.84"/>
    <n v="113791.19"/>
    <n v="369"/>
    <n v="5"/>
    <n v="98187.303241192421"/>
  </r>
  <r>
    <n v="2022"/>
    <x v="9"/>
    <x v="1"/>
    <n v="61683.86"/>
    <n v="107805.82"/>
    <n v="369"/>
    <n v="5"/>
    <n v="93022.691295392957"/>
  </r>
  <r>
    <n v="2022"/>
    <x v="10"/>
    <x v="1"/>
    <n v="66506.25"/>
    <n v="112042.79"/>
    <n v="369"/>
    <n v="5"/>
    <n v="96678.65673712737"/>
  </r>
  <r>
    <n v="2022"/>
    <x v="11"/>
    <x v="1"/>
    <n v="67461.350000000006"/>
    <n v="121216.57"/>
    <n v="369"/>
    <n v="5"/>
    <n v="104594.46040108403"/>
  </r>
  <r>
    <n v="2022"/>
    <x v="0"/>
    <x v="2"/>
    <n v="53810"/>
    <n v="143230"/>
    <n v="260"/>
    <n v="5"/>
    <n v="175401.66153846154"/>
  </r>
  <r>
    <n v="2022"/>
    <x v="1"/>
    <x v="2"/>
    <n v="70545"/>
    <n v="205471"/>
    <n v="260"/>
    <n v="5"/>
    <n v="251622.94769230767"/>
  </r>
  <r>
    <n v="2022"/>
    <x v="2"/>
    <x v="2"/>
    <n v="77260"/>
    <n v="214306"/>
    <n v="260"/>
    <n v="5"/>
    <n v="262442.4246153846"/>
  </r>
  <r>
    <n v="2022"/>
    <x v="3"/>
    <x v="2"/>
    <n v="91540"/>
    <n v="227056"/>
    <n v="260"/>
    <n v="5"/>
    <n v="278056.27076923073"/>
  </r>
  <r>
    <n v="2022"/>
    <x v="4"/>
    <x v="2"/>
    <n v="79775"/>
    <n v="214551"/>
    <n v="260"/>
    <n v="5"/>
    <n v="262742.45538461534"/>
  </r>
  <r>
    <n v="2022"/>
    <x v="5"/>
    <x v="2"/>
    <n v="101170"/>
    <n v="255586"/>
    <n v="260"/>
    <n v="5"/>
    <n v="312994.54769230768"/>
  </r>
  <r>
    <n v="2022"/>
    <x v="6"/>
    <x v="2"/>
    <n v="68990"/>
    <n v="162142.60999999999"/>
    <n v="260"/>
    <n v="5"/>
    <n v="198562.33470769227"/>
  </r>
  <r>
    <n v="2022"/>
    <x v="7"/>
    <x v="2"/>
    <n v="97155"/>
    <n v="195452.51"/>
    <n v="260"/>
    <n v="5"/>
    <n v="239354.15070769229"/>
  </r>
  <r>
    <n v="2022"/>
    <x v="8"/>
    <x v="2"/>
    <n v="88995"/>
    <n v="223751.23"/>
    <n v="260"/>
    <n v="5"/>
    <n v="274009.19858461543"/>
  </r>
  <r>
    <n v="2022"/>
    <x v="9"/>
    <x v="2"/>
    <n v="74825"/>
    <n v="203678.74"/>
    <n v="260"/>
    <n v="5"/>
    <n v="249428.11852307693"/>
  </r>
  <r>
    <n v="2022"/>
    <x v="10"/>
    <x v="2"/>
    <n v="82975"/>
    <n v="218507.51"/>
    <n v="260"/>
    <n v="5"/>
    <n v="267587.65839999996"/>
  </r>
  <r>
    <n v="2022"/>
    <x v="11"/>
    <x v="2"/>
    <n v="82935"/>
    <n v="247330.47"/>
    <n v="260"/>
    <n v="5"/>
    <n v="302884.69864615385"/>
  </r>
  <r>
    <n v="2022"/>
    <x v="0"/>
    <x v="3"/>
    <n v="214750"/>
    <n v="215550"/>
    <n v="170"/>
    <n v="10"/>
    <n v="201856.23529411765"/>
  </r>
  <r>
    <n v="2022"/>
    <x v="1"/>
    <x v="3"/>
    <n v="361600"/>
    <n v="364100"/>
    <n v="170"/>
    <n v="10"/>
    <n v="340968.9411764706"/>
  </r>
  <r>
    <n v="2022"/>
    <x v="2"/>
    <x v="3"/>
    <n v="320750"/>
    <n v="323250"/>
    <n v="170"/>
    <n v="10"/>
    <n v="302714.11764705885"/>
  </r>
  <r>
    <n v="2022"/>
    <x v="3"/>
    <x v="3"/>
    <n v="347090"/>
    <n v="349590"/>
    <n v="170"/>
    <n v="10"/>
    <n v="327380.75294117647"/>
  </r>
  <r>
    <n v="2022"/>
    <x v="4"/>
    <x v="3"/>
    <n v="350070"/>
    <n v="352570"/>
    <n v="170"/>
    <n v="10"/>
    <n v="330171.43529411766"/>
  </r>
  <r>
    <n v="2022"/>
    <x v="5"/>
    <x v="3"/>
    <n v="466810"/>
    <n v="469310"/>
    <n v="170"/>
    <n v="10"/>
    <n v="439495.01176470588"/>
  </r>
  <r>
    <n v="2022"/>
    <x v="6"/>
    <x v="3"/>
    <n v="338860"/>
    <n v="338873.8"/>
    <n v="170"/>
    <n v="10"/>
    <n v="317345.3468235294"/>
  </r>
  <r>
    <n v="2022"/>
    <x v="7"/>
    <x v="3"/>
    <n v="409310"/>
    <n v="411276.35"/>
    <n v="170"/>
    <n v="10"/>
    <n v="385148.20541176468"/>
  </r>
  <r>
    <n v="2022"/>
    <x v="8"/>
    <x v="3"/>
    <n v="369790"/>
    <n v="371624.21"/>
    <n v="170"/>
    <n v="10"/>
    <n v="348015.14254117646"/>
  </r>
  <r>
    <n v="2022"/>
    <x v="9"/>
    <x v="3"/>
    <n v="373880"/>
    <n v="375513.36"/>
    <n v="170"/>
    <n v="10"/>
    <n v="351657.21712941176"/>
  </r>
  <r>
    <n v="2022"/>
    <x v="10"/>
    <x v="3"/>
    <n v="365450"/>
    <n v="367034.29"/>
    <n v="170"/>
    <n v="10"/>
    <n v="343716.8174588235"/>
  </r>
  <r>
    <n v="2022"/>
    <x v="11"/>
    <x v="3"/>
    <n v="335460"/>
    <n v="337781.54"/>
    <n v="170"/>
    <n v="10"/>
    <n v="316322.47745882347"/>
  </r>
  <r>
    <n v="2022"/>
    <x v="0"/>
    <x v="4"/>
    <n v="52845"/>
    <n v="72345"/>
    <n v="111"/>
    <n v="5"/>
    <n v="207519.35135135136"/>
  </r>
  <r>
    <n v="2022"/>
    <x v="1"/>
    <x v="4"/>
    <n v="84210"/>
    <n v="106710"/>
    <n v="111"/>
    <n v="5"/>
    <n v="306094.27027027024"/>
  </r>
  <r>
    <n v="2022"/>
    <x v="2"/>
    <x v="4"/>
    <n v="69425"/>
    <n v="91925"/>
    <n v="111"/>
    <n v="5"/>
    <n v="263683.96396396396"/>
  </r>
  <r>
    <n v="2022"/>
    <x v="3"/>
    <x v="4"/>
    <n v="82730"/>
    <n v="104230"/>
    <n v="111"/>
    <n v="5"/>
    <n v="298980.46846846846"/>
  </r>
  <r>
    <n v="2022"/>
    <x v="4"/>
    <x v="4"/>
    <n v="80540"/>
    <n v="101540"/>
    <n v="111"/>
    <n v="5"/>
    <n v="291264.28828828828"/>
  </r>
  <r>
    <n v="2022"/>
    <x v="5"/>
    <x v="4"/>
    <n v="91600"/>
    <n v="116100"/>
    <n v="111"/>
    <n v="5"/>
    <n v="333029.18918918923"/>
  </r>
  <r>
    <n v="2022"/>
    <x v="6"/>
    <x v="4"/>
    <n v="65055"/>
    <n v="68948.11"/>
    <n v="111"/>
    <n v="5"/>
    <n v="197775.4794954955"/>
  </r>
  <r>
    <n v="2022"/>
    <x v="7"/>
    <x v="4"/>
    <n v="77400"/>
    <n v="100640.03"/>
    <n v="111"/>
    <n v="5"/>
    <n v="288682.75272072077"/>
  </r>
  <r>
    <n v="2022"/>
    <x v="8"/>
    <x v="4"/>
    <n v="79400"/>
    <n v="102655.03999999999"/>
    <n v="111"/>
    <n v="5"/>
    <n v="294462.74536936934"/>
  </r>
  <r>
    <n v="2022"/>
    <x v="9"/>
    <x v="4"/>
    <n v="79065"/>
    <n v="101379.24"/>
    <n v="111"/>
    <n v="5"/>
    <n v="290803.15329729731"/>
  </r>
  <r>
    <n v="2022"/>
    <x v="10"/>
    <x v="4"/>
    <n v="75925"/>
    <n v="102779.16"/>
    <n v="111"/>
    <n v="5"/>
    <n v="294818.77967567567"/>
  </r>
  <r>
    <n v="2022"/>
    <x v="11"/>
    <x v="4"/>
    <n v="83995"/>
    <n v="117784.36"/>
    <n v="111"/>
    <n v="5"/>
    <n v="337860.7227387387"/>
  </r>
  <r>
    <n v="2022"/>
    <x v="4"/>
    <x v="5"/>
    <n v="43736"/>
    <n v="66179"/>
    <n v="1200"/>
    <n v="5"/>
    <n v="17559.494666666666"/>
  </r>
  <r>
    <n v="2022"/>
    <x v="5"/>
    <x v="5"/>
    <n v="65892.259999999995"/>
    <n v="131912.76"/>
    <n v="1200"/>
    <n v="5"/>
    <n v="35000.852319999998"/>
  </r>
  <r>
    <n v="2022"/>
    <x v="6"/>
    <x v="5"/>
    <n v="49173.18"/>
    <n v="89134.61"/>
    <n v="1200"/>
    <n v="5"/>
    <n v="23650.383186666666"/>
  </r>
  <r>
    <n v="2022"/>
    <x v="7"/>
    <x v="5"/>
    <n v="55425.440000000002"/>
    <n v="129374.48"/>
    <n v="1200"/>
    <n v="5"/>
    <n v="34327.362026666662"/>
  </r>
  <r>
    <n v="2022"/>
    <x v="8"/>
    <x v="5"/>
    <n v="56046.69"/>
    <n v="131015.09"/>
    <n v="1200"/>
    <n v="5"/>
    <n v="34762.670546666668"/>
  </r>
  <r>
    <n v="2022"/>
    <x v="9"/>
    <x v="5"/>
    <n v="51593.57"/>
    <n v="124207.14"/>
    <n v="1200"/>
    <n v="5"/>
    <n v="32956.294480000004"/>
  </r>
  <r>
    <n v="2022"/>
    <x v="10"/>
    <x v="5"/>
    <n v="58730.49"/>
    <n v="149647.51"/>
    <n v="1200"/>
    <n v="5"/>
    <n v="39706.472653333331"/>
  </r>
  <r>
    <n v="2022"/>
    <x v="11"/>
    <x v="5"/>
    <n v="66340.31"/>
    <n v="182965.7"/>
    <n v="1200"/>
    <n v="5"/>
    <n v="48546.899066666672"/>
  </r>
  <r>
    <n v="2022"/>
    <x v="0"/>
    <x v="5"/>
    <n v="27797.21"/>
    <n v="88243.81"/>
    <n v="1200"/>
    <n v="5"/>
    <n v="23414.024253333333"/>
  </r>
  <r>
    <n v="2022"/>
    <x v="1"/>
    <x v="5"/>
    <n v="37780.85"/>
    <n v="116599.33"/>
    <n v="1200"/>
    <n v="5"/>
    <n v="30937.688893333336"/>
  </r>
  <r>
    <n v="2022"/>
    <x v="2"/>
    <x v="5"/>
    <n v="47107.27"/>
    <n v="134777.32"/>
    <n v="1200"/>
    <n v="5"/>
    <n v="35760.915573333339"/>
  </r>
  <r>
    <n v="2022"/>
    <x v="3"/>
    <x v="5"/>
    <n v="50826.85"/>
    <n v="158530.42000000001"/>
    <n v="1200"/>
    <n v="5"/>
    <n v="42063.404773333335"/>
  </r>
  <r>
    <n v="2022"/>
    <x v="0"/>
    <x v="6"/>
    <n v="68985"/>
    <n v="233468"/>
    <n v="205"/>
    <n v="10"/>
    <n v="181307.83219512194"/>
  </r>
  <r>
    <n v="2022"/>
    <x v="1"/>
    <x v="6"/>
    <n v="78800"/>
    <n v="227533"/>
    <n v="205"/>
    <n v="10"/>
    <n v="176698.7980487805"/>
  </r>
  <r>
    <n v="2022"/>
    <x v="2"/>
    <x v="6"/>
    <n v="66640"/>
    <n v="205423"/>
    <n v="205"/>
    <n v="10"/>
    <n v="159528.49560975612"/>
  </r>
  <r>
    <n v="2022"/>
    <x v="3"/>
    <x v="6"/>
    <n v="65535"/>
    <n v="203568"/>
    <n v="205"/>
    <n v="10"/>
    <n v="158087.92975609755"/>
  </r>
  <r>
    <n v="2022"/>
    <x v="4"/>
    <x v="6"/>
    <n v="76110"/>
    <n v="239693"/>
    <n v="205"/>
    <n v="10"/>
    <n v="186142.07609756096"/>
  </r>
  <r>
    <n v="2022"/>
    <x v="5"/>
    <x v="6"/>
    <n v="105700"/>
    <n v="261549"/>
    <n v="205"/>
    <n v="10"/>
    <n v="203115.12585365854"/>
  </r>
  <r>
    <n v="2022"/>
    <x v="6"/>
    <x v="6"/>
    <n v="69825.009999999995"/>
    <n v="246822.07"/>
    <n v="205"/>
    <n v="10"/>
    <n v="191678.40753170734"/>
  </r>
  <r>
    <n v="2022"/>
    <x v="7"/>
    <x v="6"/>
    <n v="86290"/>
    <n v="344540.14"/>
    <n v="205"/>
    <n v="10"/>
    <n v="267564.83067317074"/>
  </r>
  <r>
    <n v="2022"/>
    <x v="8"/>
    <x v="6"/>
    <n v="94270"/>
    <n v="265298.95"/>
    <n v="205"/>
    <n v="10"/>
    <n v="206027.28214634149"/>
  </r>
  <r>
    <n v="2022"/>
    <x v="9"/>
    <x v="6"/>
    <n v="74190"/>
    <n v="244032.41"/>
    <n v="205"/>
    <n v="10"/>
    <n v="189511.99840000001"/>
  </r>
  <r>
    <n v="2022"/>
    <x v="10"/>
    <x v="6"/>
    <n v="86220.01"/>
    <n v="279601.8"/>
    <n v="205"/>
    <n v="10"/>
    <n v="217134.66614634145"/>
  </r>
  <r>
    <n v="2022"/>
    <x v="11"/>
    <x v="6"/>
    <n v="71315"/>
    <n v="306187.38"/>
    <n v="205"/>
    <n v="10"/>
    <n v="237780.63851707315"/>
  </r>
  <r>
    <n v="2022"/>
    <x v="0"/>
    <x v="7"/>
    <m/>
    <n v="1530926"/>
    <n v="3800"/>
    <n v="10"/>
    <n v="64137.741894736835"/>
  </r>
  <r>
    <n v="2022"/>
    <x v="1"/>
    <x v="7"/>
    <m/>
    <n v="1077724"/>
    <n v="3800"/>
    <n v="3"/>
    <n v="150503.21122807017"/>
  </r>
  <r>
    <n v="2022"/>
    <x v="2"/>
    <x v="7"/>
    <m/>
    <n v="1488773"/>
    <n v="3800"/>
    <n v="3"/>
    <n v="207905.84350877194"/>
  </r>
  <r>
    <n v="2022"/>
    <x v="3"/>
    <x v="7"/>
    <m/>
    <n v="1416774"/>
    <n v="3800"/>
    <n v="3"/>
    <n v="197851.2463157895"/>
  </r>
  <r>
    <n v="2022"/>
    <x v="4"/>
    <x v="7"/>
    <m/>
    <n v="1764230"/>
    <n v="3800"/>
    <n v="3"/>
    <n v="246373.17192982454"/>
  </r>
  <r>
    <n v="2022"/>
    <x v="5"/>
    <x v="7"/>
    <m/>
    <n v="1568701"/>
    <n v="3800"/>
    <n v="3"/>
    <n v="219067.71859649124"/>
  </r>
  <r>
    <n v="2022"/>
    <x v="6"/>
    <x v="7"/>
    <m/>
    <n v="1565798"/>
    <n v="3800"/>
    <n v="3"/>
    <n v="218662.31719298245"/>
  </r>
  <r>
    <n v="2022"/>
    <x v="7"/>
    <x v="7"/>
    <m/>
    <n v="1680725"/>
    <n v="3800"/>
    <n v="3"/>
    <n v="234711.77192982455"/>
  </r>
  <r>
    <n v="2022"/>
    <x v="8"/>
    <x v="7"/>
    <m/>
    <n v="1478024"/>
    <n v="3800"/>
    <n v="3"/>
    <n v="206404.75508771933"/>
  </r>
  <r>
    <n v="2022"/>
    <x v="9"/>
    <x v="7"/>
    <m/>
    <n v="1387069"/>
    <n v="3800"/>
    <n v="3"/>
    <n v="193702.969122807"/>
  </r>
  <r>
    <n v="2022"/>
    <x v="10"/>
    <x v="7"/>
    <m/>
    <n v="1628188"/>
    <n v="3800"/>
    <n v="3"/>
    <n v="227375.02596491229"/>
  </r>
  <r>
    <n v="2022"/>
    <x v="11"/>
    <x v="7"/>
    <m/>
    <n v="1198605"/>
    <n v="3800"/>
    <n v="3"/>
    <n v="167384.13684210525"/>
  </r>
  <r>
    <n v="2022"/>
    <x v="0"/>
    <x v="8"/>
    <m/>
    <n v="256954"/>
    <n v="1120"/>
    <n v="3"/>
    <n v="121747.25238095238"/>
  </r>
  <r>
    <n v="2022"/>
    <x v="1"/>
    <x v="8"/>
    <m/>
    <n v="145815"/>
    <n v="1120"/>
    <n v="3"/>
    <n v="69088.53571428571"/>
  </r>
  <r>
    <n v="2022"/>
    <x v="2"/>
    <x v="8"/>
    <m/>
    <n v="168580"/>
    <n v="1120"/>
    <n v="3"/>
    <n v="79874.809523809512"/>
  </r>
  <r>
    <n v="2022"/>
    <x v="3"/>
    <x v="8"/>
    <m/>
    <n v="164290"/>
    <n v="1120"/>
    <n v="3"/>
    <n v="77842.166666666672"/>
  </r>
  <r>
    <n v="2022"/>
    <x v="4"/>
    <x v="8"/>
    <m/>
    <n v="213595"/>
    <n v="1120"/>
    <n v="3"/>
    <n v="101203.34523809524"/>
  </r>
  <r>
    <n v="2022"/>
    <x v="5"/>
    <x v="8"/>
    <m/>
    <n v="193294"/>
    <n v="1120"/>
    <n v="3"/>
    <n v="91584.538095238095"/>
  </r>
  <r>
    <n v="2022"/>
    <x v="6"/>
    <x v="8"/>
    <m/>
    <n v="210065"/>
    <n v="1120"/>
    <n v="3"/>
    <n v="99530.797619047618"/>
  </r>
  <r>
    <n v="2022"/>
    <x v="7"/>
    <x v="8"/>
    <m/>
    <n v="209742"/>
    <n v="1120"/>
    <n v="3"/>
    <n v="99377.757142857139"/>
  </r>
  <r>
    <n v="2022"/>
    <x v="8"/>
    <x v="8"/>
    <m/>
    <n v="191597"/>
    <n v="1120"/>
    <n v="3"/>
    <n v="90780.483333333337"/>
  </r>
  <r>
    <n v="2022"/>
    <x v="9"/>
    <x v="8"/>
    <m/>
    <n v="199461"/>
    <n v="1120"/>
    <n v="3"/>
    <n v="94506.521428571432"/>
  </r>
  <r>
    <n v="2022"/>
    <x v="10"/>
    <x v="8"/>
    <m/>
    <n v="181774"/>
    <n v="1120"/>
    <n v="3"/>
    <n v="86126.252380952385"/>
  </r>
  <r>
    <n v="2022"/>
    <x v="11"/>
    <x v="8"/>
    <m/>
    <n v="116184"/>
    <n v="1120"/>
    <n v="3"/>
    <n v="55049.085714285713"/>
  </r>
  <r>
    <n v="2022"/>
    <x v="0"/>
    <x v="9"/>
    <n v="127304.93"/>
    <n v="127304.93"/>
    <n v="166"/>
    <n v="8"/>
    <n v="152612.53656626504"/>
  </r>
  <r>
    <n v="2022"/>
    <x v="1"/>
    <x v="9"/>
    <n v="162111.54"/>
    <n v="162111.54"/>
    <n v="166"/>
    <n v="8"/>
    <n v="194338.53289156625"/>
  </r>
  <r>
    <n v="2022"/>
    <x v="2"/>
    <x v="9"/>
    <n v="115922.97"/>
    <n v="115922.97"/>
    <n v="166"/>
    <n v="8"/>
    <n v="138967.89777108433"/>
  </r>
  <r>
    <n v="2022"/>
    <x v="3"/>
    <x v="9"/>
    <n v="15001.96"/>
    <n v="15001.96"/>
    <n v="166"/>
    <n v="8"/>
    <n v="17984.277349397587"/>
  </r>
  <r>
    <n v="2022"/>
    <x v="4"/>
    <x v="9"/>
    <n v="8747"/>
    <n v="8747"/>
    <n v="166"/>
    <n v="8"/>
    <n v="10485.861445783134"/>
  </r>
  <r>
    <n v="2022"/>
    <x v="5"/>
    <x v="9"/>
    <n v="102623"/>
    <n v="102623"/>
    <n v="166"/>
    <n v="8"/>
    <n v="123023.9578313253"/>
  </r>
  <r>
    <n v="2022"/>
    <x v="6"/>
    <x v="9"/>
    <n v="141328.79999999999"/>
    <n v="141328.79999999999"/>
    <n v="166"/>
    <n v="8"/>
    <n v="169424.28433734938"/>
  </r>
  <r>
    <n v="2022"/>
    <x v="7"/>
    <x v="9"/>
    <n v="159199.92000000001"/>
    <n v="161941.32999999999"/>
    <n v="166"/>
    <n v="8"/>
    <n v="194134.4859638554"/>
  </r>
  <r>
    <n v="2022"/>
    <x v="8"/>
    <x v="9"/>
    <n v="119886.05"/>
    <n v="126184.95"/>
    <n v="166"/>
    <n v="8"/>
    <n v="151269.90993975903"/>
  </r>
  <r>
    <n v="2022"/>
    <x v="9"/>
    <x v="9"/>
    <n v="124064.02"/>
    <n v="124491.63"/>
    <n v="166"/>
    <n v="8"/>
    <n v="149239.96608433736"/>
  </r>
  <r>
    <n v="2022"/>
    <x v="10"/>
    <x v="9"/>
    <n v="119273.36"/>
    <n v="123982.26"/>
    <n v="166"/>
    <n v="8"/>
    <n v="148629.33578313253"/>
  </r>
  <r>
    <n v="2022"/>
    <x v="11"/>
    <x v="9"/>
    <n v="46367.199999999997"/>
    <n v="51687.26"/>
    <n v="166"/>
    <n v="8"/>
    <n v="61962.438192771086"/>
  </r>
  <r>
    <n v="2022"/>
    <x v="0"/>
    <x v="10"/>
    <n v="27905"/>
    <n v="61760.17"/>
    <n v="104"/>
    <n v="5"/>
    <n v="189081.13584615386"/>
  </r>
  <r>
    <n v="2022"/>
    <x v="1"/>
    <x v="10"/>
    <n v="27217"/>
    <n v="73761.399999999994"/>
    <n v="104"/>
    <n v="5"/>
    <n v="225823.36307692307"/>
  </r>
  <r>
    <n v="2022"/>
    <x v="2"/>
    <x v="10"/>
    <n v="24321.05"/>
    <n v="70536.09"/>
    <n v="104"/>
    <n v="5"/>
    <n v="215948.95246153846"/>
  </r>
  <r>
    <n v="2022"/>
    <x v="3"/>
    <x v="10"/>
    <n v="33510.39"/>
    <n v="68158.740000000005"/>
    <n v="104"/>
    <n v="5"/>
    <n v="208670.60399999999"/>
  </r>
  <r>
    <n v="2022"/>
    <x v="4"/>
    <x v="10"/>
    <n v="22580"/>
    <n v="57778.35"/>
    <n v="104"/>
    <n v="5"/>
    <n v="176890.64076923075"/>
  </r>
  <r>
    <n v="2022"/>
    <x v="5"/>
    <x v="10"/>
    <n v="34321"/>
    <n v="71719.350000000006"/>
    <n v="104"/>
    <n v="5"/>
    <n v="219571.54846153848"/>
  </r>
  <r>
    <n v="2022"/>
    <x v="6"/>
    <x v="10"/>
    <n v="41429.1"/>
    <n v="58747.87"/>
    <n v="104"/>
    <n v="5"/>
    <n v="179858.86353846156"/>
  </r>
  <r>
    <n v="2022"/>
    <x v="7"/>
    <x v="10"/>
    <n v="28858.04"/>
    <n v="61407.839999999997"/>
    <n v="104"/>
    <n v="5"/>
    <n v="188002.46399999998"/>
  </r>
  <r>
    <n v="2022"/>
    <x v="8"/>
    <x v="10"/>
    <n v="16784"/>
    <n v="42529.54"/>
    <n v="104"/>
    <n v="5"/>
    <n v="130205.82246153847"/>
  </r>
  <r>
    <n v="2022"/>
    <x v="9"/>
    <x v="10"/>
    <n v="26599"/>
    <n v="62097.31"/>
    <n v="104"/>
    <n v="5"/>
    <n v="190113.3029230769"/>
  </r>
  <r>
    <n v="2022"/>
    <x v="10"/>
    <x v="10"/>
    <n v="13378"/>
    <n v="42240.81"/>
    <n v="104"/>
    <n v="5"/>
    <n v="129321.86446153844"/>
  </r>
  <r>
    <n v="2022"/>
    <x v="11"/>
    <x v="10"/>
    <n v="15570.99"/>
    <n v="89784.7"/>
    <n v="104"/>
    <n v="5"/>
    <n v="274879.31230769231"/>
  </r>
  <r>
    <n v="2022"/>
    <x v="0"/>
    <x v="11"/>
    <n v="8241"/>
    <n v="9341"/>
    <n v="53"/>
    <n v="5"/>
    <n v="56116.498113207541"/>
  </r>
  <r>
    <n v="2022"/>
    <x v="1"/>
    <x v="11"/>
    <n v="8180"/>
    <n v="9280"/>
    <n v="53"/>
    <n v="5"/>
    <n v="55750.037735849059"/>
  </r>
  <r>
    <n v="2022"/>
    <x v="2"/>
    <x v="11"/>
    <n v="7418"/>
    <n v="8518"/>
    <n v="53"/>
    <n v="5"/>
    <n v="51172.286792452825"/>
  </r>
  <r>
    <n v="2022"/>
    <x v="3"/>
    <x v="11"/>
    <n v="25756"/>
    <n v="29056"/>
    <n v="53"/>
    <n v="5"/>
    <n v="174555.29056603773"/>
  </r>
  <r>
    <n v="2022"/>
    <x v="4"/>
    <x v="11"/>
    <n v="13210"/>
    <n v="14860"/>
    <n v="53"/>
    <n v="5"/>
    <n v="89272.150943396235"/>
  </r>
  <r>
    <n v="2022"/>
    <x v="5"/>
    <x v="11"/>
    <n v="12270"/>
    <n v="13920"/>
    <n v="53"/>
    <n v="5"/>
    <n v="83625.056603773584"/>
  </r>
  <r>
    <n v="2022"/>
    <x v="6"/>
    <x v="11"/>
    <n v="11235"/>
    <n v="12264.03"/>
    <n v="53"/>
    <n v="5"/>
    <n v="73676.738716981141"/>
  </r>
  <r>
    <n v="2022"/>
    <x v="7"/>
    <x v="11"/>
    <n v="13670"/>
    <n v="15650.01"/>
    <n v="53"/>
    <n v="5"/>
    <n v="94018.173283018856"/>
  </r>
  <r>
    <n v="2022"/>
    <x v="8"/>
    <x v="11"/>
    <n v="7240"/>
    <n v="8759.2900000000009"/>
    <n v="53"/>
    <n v="5"/>
    <n v="52621.847849056612"/>
  </r>
  <r>
    <n v="2022"/>
    <x v="9"/>
    <x v="11"/>
    <n v="5510"/>
    <n v="6940"/>
    <n v="53"/>
    <n v="5"/>
    <n v="41692.377358490565"/>
  </r>
  <r>
    <n v="2022"/>
    <x v="10"/>
    <x v="11"/>
    <n v="5675"/>
    <n v="6206.67"/>
    <n v="53"/>
    <n v="5"/>
    <n v="37286.862792452834"/>
  </r>
  <r>
    <n v="2022"/>
    <x v="11"/>
    <x v="11"/>
    <n v="4550"/>
    <n v="4961.6099999999997"/>
    <n v="53"/>
    <n v="5"/>
    <n v="29807.106113207541"/>
  </r>
  <r>
    <n v="2022"/>
    <x v="0"/>
    <x v="12"/>
    <m/>
    <n v="27011.95"/>
    <n v="190"/>
    <n v="5"/>
    <n v="45266.34147368421"/>
  </r>
  <r>
    <n v="2022"/>
    <x v="1"/>
    <x v="12"/>
    <m/>
    <n v="47269.67"/>
    <n v="190"/>
    <n v="5"/>
    <n v="79214.015410526306"/>
  </r>
  <r>
    <n v="2022"/>
    <x v="2"/>
    <x v="12"/>
    <m/>
    <n v="38726.239999999998"/>
    <n v="190"/>
    <n v="5"/>
    <n v="64897.025347368413"/>
  </r>
  <r>
    <n v="2022"/>
    <x v="3"/>
    <x v="12"/>
    <m/>
    <n v="27981.1"/>
    <n v="190"/>
    <n v="5"/>
    <n v="46890.432842105256"/>
  </r>
  <r>
    <n v="2022"/>
    <x v="4"/>
    <x v="12"/>
    <m/>
    <n v="35965.93"/>
    <n v="190"/>
    <n v="5"/>
    <n v="60271.326905263166"/>
  </r>
  <r>
    <n v="2022"/>
    <x v="5"/>
    <x v="12"/>
    <m/>
    <n v="36396"/>
    <n v="190"/>
    <n v="5"/>
    <n v="60992.033684210532"/>
  </r>
  <r>
    <n v="2022"/>
    <x v="6"/>
    <x v="12"/>
    <m/>
    <n v="31808.49"/>
    <n v="190"/>
    <n v="5"/>
    <n v="53304.332715789482"/>
  </r>
  <r>
    <n v="2022"/>
    <x v="7"/>
    <x v="12"/>
    <m/>
    <n v="30712.7"/>
    <n v="190"/>
    <n v="5"/>
    <n v="51468.019368421046"/>
  </r>
  <r>
    <n v="2022"/>
    <x v="8"/>
    <x v="12"/>
    <m/>
    <n v="33409.86"/>
    <n v="190"/>
    <n v="5"/>
    <n v="55987.891705263159"/>
  </r>
  <r>
    <n v="2022"/>
    <x v="9"/>
    <x v="12"/>
    <m/>
    <n v="33987.74"/>
    <n v="190"/>
    <n v="5"/>
    <n v="56956.296926315787"/>
  </r>
  <r>
    <n v="2022"/>
    <x v="10"/>
    <x v="12"/>
    <m/>
    <n v="42640.43"/>
    <n v="190"/>
    <n v="5"/>
    <n v="71456.383747368425"/>
  </r>
  <r>
    <n v="2022"/>
    <x v="11"/>
    <x v="12"/>
    <m/>
    <n v="46433.93"/>
    <n v="190"/>
    <n v="5"/>
    <n v="77813.491115789468"/>
  </r>
  <r>
    <n v="2022"/>
    <x v="0"/>
    <x v="13"/>
    <m/>
    <n v="179140"/>
    <n v="300"/>
    <n v="5"/>
    <n v="190127.25333333333"/>
  </r>
  <r>
    <n v="2022"/>
    <x v="1"/>
    <x v="13"/>
    <m/>
    <n v="251310"/>
    <n v="300"/>
    <n v="5"/>
    <n v="266723.68000000005"/>
  </r>
  <r>
    <n v="2022"/>
    <x v="2"/>
    <x v="13"/>
    <m/>
    <n v="219200"/>
    <n v="300"/>
    <n v="5"/>
    <n v="232644.26666666666"/>
  </r>
  <r>
    <n v="2022"/>
    <x v="3"/>
    <x v="13"/>
    <m/>
    <n v="214675"/>
    <n v="300"/>
    <n v="5"/>
    <n v="227841.73333333334"/>
  </r>
  <r>
    <n v="2022"/>
    <x v="4"/>
    <x v="13"/>
    <m/>
    <n v="220880"/>
    <n v="300"/>
    <n v="5"/>
    <n v="234427.30666666667"/>
  </r>
  <r>
    <n v="2022"/>
    <x v="5"/>
    <x v="13"/>
    <m/>
    <n v="279001"/>
    <n v="300"/>
    <n v="5"/>
    <n v="296113.06133333332"/>
  </r>
  <r>
    <n v="2022"/>
    <x v="6"/>
    <x v="13"/>
    <m/>
    <n v="180739.88"/>
    <n v="300"/>
    <n v="5"/>
    <n v="191825.25930666667"/>
  </r>
  <r>
    <n v="2022"/>
    <x v="7"/>
    <x v="13"/>
    <m/>
    <n v="256468.54"/>
    <n v="300"/>
    <n v="5"/>
    <n v="272198.61045333336"/>
  </r>
  <r>
    <n v="2022"/>
    <x v="8"/>
    <x v="13"/>
    <m/>
    <n v="220335.96"/>
    <n v="300"/>
    <n v="5"/>
    <n v="233849.89887999999"/>
  </r>
  <r>
    <n v="2022"/>
    <x v="9"/>
    <x v="13"/>
    <m/>
    <n v="190223.27"/>
    <n v="300"/>
    <n v="5"/>
    <n v="201890.29722666665"/>
  </r>
  <r>
    <n v="2022"/>
    <x v="10"/>
    <x v="13"/>
    <m/>
    <n v="211804.99"/>
    <n v="300"/>
    <n v="5"/>
    <n v="224795.69605333335"/>
  </r>
  <r>
    <n v="2022"/>
    <x v="11"/>
    <x v="13"/>
    <m/>
    <n v="177616.53"/>
    <n v="300"/>
    <n v="5"/>
    <n v="188510.34384000002"/>
  </r>
  <r>
    <n v="2022"/>
    <x v="0"/>
    <x v="14"/>
    <m/>
    <n v="188485"/>
    <n v="1700"/>
    <n v="5"/>
    <n v="35302.131764705882"/>
  </r>
  <r>
    <n v="2021"/>
    <x v="1"/>
    <x v="14"/>
    <m/>
    <n v="290125"/>
    <n v="1700"/>
    <n v="5"/>
    <n v="54338.705882352944"/>
  </r>
  <r>
    <n v="2021"/>
    <x v="2"/>
    <x v="14"/>
    <m/>
    <n v="230560"/>
    <n v="1700"/>
    <n v="5"/>
    <n v="43182.531764705884"/>
  </r>
  <r>
    <n v="2021"/>
    <x v="3"/>
    <x v="14"/>
    <m/>
    <n v="199669"/>
    <n v="1700"/>
    <n v="5"/>
    <n v="37396.829176470586"/>
  </r>
  <r>
    <n v="2021"/>
    <x v="4"/>
    <x v="14"/>
    <m/>
    <n v="208645"/>
    <n v="1700"/>
    <n v="5"/>
    <n v="39077.981176470588"/>
  </r>
  <r>
    <n v="2021"/>
    <x v="5"/>
    <x v="14"/>
    <m/>
    <n v="231095.17"/>
    <n v="1700"/>
    <n v="5"/>
    <n v="43282.765957647054"/>
  </r>
  <r>
    <n v="2021"/>
    <x v="6"/>
    <x v="14"/>
    <m/>
    <n v="195170.22"/>
    <n v="1700"/>
    <n v="5"/>
    <n v="36554.234145882358"/>
  </r>
  <r>
    <n v="2021"/>
    <x v="7"/>
    <x v="14"/>
    <m/>
    <n v="227700.01"/>
    <n v="1700"/>
    <n v="5"/>
    <n v="42646.872461176477"/>
  </r>
  <r>
    <n v="2021"/>
    <x v="8"/>
    <x v="14"/>
    <m/>
    <n v="202876"/>
    <n v="1700"/>
    <n v="5"/>
    <n v="37997.481411764711"/>
  </r>
  <r>
    <n v="2021"/>
    <x v="9"/>
    <x v="14"/>
    <m/>
    <n v="300885"/>
    <n v="1700"/>
    <n v="5"/>
    <n v="56353.990588235298"/>
  </r>
  <r>
    <n v="2021"/>
    <x v="10"/>
    <x v="14"/>
    <m/>
    <n v="206780"/>
    <n v="1700"/>
    <n v="5"/>
    <n v="38728.677647058823"/>
  </r>
  <r>
    <n v="2021"/>
    <x v="11"/>
    <x v="14"/>
    <m/>
    <n v="186470"/>
    <n v="1700"/>
    <n v="5"/>
    <n v="34924.734117647058"/>
  </r>
  <r>
    <n v="2022"/>
    <x v="0"/>
    <x v="15"/>
    <m/>
    <n v="474379.47"/>
    <n v="160"/>
    <n v="15"/>
    <n v="314671.71509999997"/>
  </r>
  <r>
    <n v="2022"/>
    <x v="1"/>
    <x v="15"/>
    <m/>
    <n v="643620.01"/>
    <n v="160"/>
    <n v="15"/>
    <n v="426934.60663333331"/>
  </r>
  <r>
    <n v="2022"/>
    <x v="2"/>
    <x v="15"/>
    <m/>
    <n v="507760"/>
    <n v="160"/>
    <n v="15"/>
    <n v="336814.1333333333"/>
  </r>
  <r>
    <n v="2022"/>
    <x v="3"/>
    <x v="15"/>
    <m/>
    <n v="479724.99"/>
    <n v="160"/>
    <n v="15"/>
    <n v="318217.57669999998"/>
  </r>
  <r>
    <n v="2022"/>
    <x v="4"/>
    <x v="15"/>
    <m/>
    <n v="563567"/>
    <n v="160"/>
    <n v="15"/>
    <n v="373832.77666666667"/>
  </r>
  <r>
    <n v="2022"/>
    <x v="5"/>
    <x v="15"/>
    <m/>
    <n v="665565"/>
    <n v="160"/>
    <n v="15"/>
    <n v="441491.45"/>
  </r>
  <r>
    <n v="2022"/>
    <x v="6"/>
    <x v="15"/>
    <m/>
    <n v="395960.17"/>
    <n v="160"/>
    <n v="15"/>
    <n v="262653.57943333336"/>
  </r>
  <r>
    <n v="2022"/>
    <x v="7"/>
    <x v="15"/>
    <m/>
    <n v="532123.31999999995"/>
    <n v="160"/>
    <n v="15"/>
    <n v="352975.13559999998"/>
  </r>
  <r>
    <n v="2021"/>
    <x v="8"/>
    <x v="15"/>
    <m/>
    <n v="584610"/>
    <n v="160"/>
    <n v="15"/>
    <n v="387791.3"/>
  </r>
  <r>
    <n v="2021"/>
    <x v="9"/>
    <x v="15"/>
    <m/>
    <n v="597610"/>
    <n v="160"/>
    <n v="15"/>
    <n v="396414.6333333333"/>
  </r>
  <r>
    <n v="2021"/>
    <x v="10"/>
    <x v="15"/>
    <m/>
    <n v="617355"/>
    <n v="160"/>
    <n v="15"/>
    <n v="409512.14999999997"/>
  </r>
  <r>
    <n v="2021"/>
    <x v="11"/>
    <x v="15"/>
    <m/>
    <n v="550422.5"/>
    <n v="160"/>
    <n v="15"/>
    <n v="365113.591666666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7" cacheId="0" dataOnRows="1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G3:G4" firstHeaderRow="1" firstDataRow="1" firstDataCol="0"/>
  <pivotFields count="13">
    <pivotField showAll="0"/>
    <pivotField showAll="0"/>
    <pivotField showAll="0">
      <items count="19">
        <item h="1" x="7"/>
        <item h="1" x="8"/>
        <item x="3"/>
        <item h="1" x="4"/>
        <item h="1" x="9"/>
        <item h="1" x="15"/>
        <item h="1" x="5"/>
        <item h="1" x="12"/>
        <item h="1" x="14"/>
        <item h="1" x="2"/>
        <item h="1" x="6"/>
        <item h="1" x="0"/>
        <item h="1" x="13"/>
        <item h="1" x="1"/>
        <item h="1" x="10"/>
        <item h="1" m="1" x="16"/>
        <item h="1" x="11"/>
        <item h="1" m="1" x="17"/>
        <item t="default"/>
      </items>
    </pivotField>
    <pivotField showAll="0"/>
    <pivotField numFmtId="43" showAll="0"/>
    <pivotField showAll="0"/>
    <pivotField showAll="0"/>
    <pivotField dataField="1" numFmtId="43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</pivotFields>
  <dataFields count="1">
    <dataField name="求和项:测算项目预测收入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3:B16" firstHeaderRow="1" firstDataRow="1" firstDataCol="1"/>
  <pivotFields count="13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9">
        <item h="1" x="7"/>
        <item h="1" x="8"/>
        <item x="3"/>
        <item h="1" x="4"/>
        <item h="1" x="9"/>
        <item h="1" x="15"/>
        <item h="1" x="5"/>
        <item h="1" x="12"/>
        <item h="1" x="14"/>
        <item h="1" x="2"/>
        <item h="1" x="6"/>
        <item h="1" x="0"/>
        <item h="1" x="13"/>
        <item h="1" x="1"/>
        <item h="1" x="10"/>
        <item h="1" m="1" x="16"/>
        <item h="1" x="11"/>
        <item h="1" m="1" x="17"/>
        <item t="default"/>
      </items>
    </pivotField>
    <pivotField showAll="0"/>
    <pivotField numFmtId="43" showAll="0"/>
    <pivotField showAll="0"/>
    <pivotField showAll="0"/>
    <pivotField dataField="1" numFmtId="43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求和项:测算项目预测收入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项目名1" sourceName="项目名">
  <pivotTables>
    <pivotTable tabId="14" name="数据透视表4"/>
    <pivotTable tabId="14" name="数据透视表7"/>
  </pivotTables>
  <data>
    <tabular pivotCacheId="1">
      <items count="18">
        <i x="7" s="0"/>
        <i x="8" s="0"/>
        <i x="3" s="1"/>
        <i x="4" s="0"/>
        <i x="9" s="0"/>
        <i x="15" s="0"/>
        <i x="5" s="0"/>
        <i x="12" s="0"/>
        <i x="14" s="0"/>
        <i x="2" s="0"/>
        <i x="6" s="0"/>
        <i x="0" s="0"/>
        <i x="13" s="0"/>
        <i x="1" s="0"/>
        <i x="10" s="0"/>
        <i x="11" s="0"/>
        <i x="16" s="0" nd="1"/>
        <i x="17" s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项目名" cache="切片器_项目名1" caption="参照项目（请选择类似业态项目）" rowHeight="209550"/>
</slicers>
</file>

<file path=xl/tables/table1.xml><?xml version="1.0" encoding="utf-8"?>
<table xmlns="http://schemas.openxmlformats.org/spreadsheetml/2006/main" id="1" name="表1" displayName="表1" ref="A1:K4" totalsRowShown="0">
  <autoFilter xmlns:etc="http://www.wps.cn/officeDocument/2017/etCustomData" ref="A1:K4" etc:filterBottomFollowUsedRange="0"/>
  <tableColumns count="11">
    <tableColumn id="1" name="年份"/>
    <tableColumn id="2" name="月份"/>
    <tableColumn id="3" name="项目区域"/>
    <tableColumn id="4" name="项目经理"/>
    <tableColumn id="5" name="项目名"/>
    <tableColumn id="6" name="临停收入"/>
    <tableColumn id="7" name="代金券收入"/>
    <tableColumn id="8" name="包月收入"/>
    <tableColumn id="9" name="总收入"/>
    <tableColumn id="10" name="去年总收入"/>
    <tableColumn id="11" name="增长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1:K37" totalsRowShown="0">
  <autoFilter xmlns:etc="http://www.wps.cn/officeDocument/2017/etCustomData" ref="A1:K37" etc:filterBottomFollowUsedRange="0"/>
  <tableColumns count="11">
    <tableColumn id="1" name="年份"/>
    <tableColumn id="2" name="月份"/>
    <tableColumn id="3" name="项目区域"/>
    <tableColumn id="4" name="项目经理"/>
    <tableColumn id="5" name="项目名"/>
    <tableColumn id="6" name="临停收入"/>
    <tableColumn id="7" name="代金券收入"/>
    <tableColumn id="8" name="包月收入"/>
    <tableColumn id="9" name="总收入"/>
    <tableColumn id="10" name="去年总收入"/>
    <tableColumn id="11" name="增长率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1:K37" totalsRowShown="0">
  <autoFilter xmlns:etc="http://www.wps.cn/officeDocument/2017/etCustomData" ref="A1:K37" etc:filterBottomFollowUsedRange="0"/>
  <tableColumns count="11">
    <tableColumn id="1" name="年份"/>
    <tableColumn id="2" name="月份"/>
    <tableColumn id="3" name="项目区域"/>
    <tableColumn id="4" name="项目经理"/>
    <tableColumn id="5" name="项目名"/>
    <tableColumn id="6" name="临停收入"/>
    <tableColumn id="7" name="代金券收入"/>
    <tableColumn id="8" name="包月收入"/>
    <tableColumn id="9" name="总收入"/>
    <tableColumn id="10" name="去年总收入"/>
    <tableColumn id="11" name="增长率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表4" displayName="表4" ref="A1:K37" totalsRowShown="0">
  <autoFilter xmlns:etc="http://www.wps.cn/officeDocument/2017/etCustomData" ref="A1:K37" etc:filterBottomFollowUsedRange="0"/>
  <tableColumns count="11">
    <tableColumn id="1" name="年份"/>
    <tableColumn id="2" name="月份"/>
    <tableColumn id="3" name="项目区域"/>
    <tableColumn id="4" name="项目经理"/>
    <tableColumn id="5" name="项目名"/>
    <tableColumn id="6" name="临停收入"/>
    <tableColumn id="7" name="代金券收入"/>
    <tableColumn id="8" name="包月收入"/>
    <tableColumn id="9" name="总收入"/>
    <tableColumn id="10" name="去年总收入"/>
    <tableColumn id="11" name="增长率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表5" displayName="表5" ref="A1:K37" totalsRowShown="0">
  <autoFilter xmlns:etc="http://www.wps.cn/officeDocument/2017/etCustomData" ref="A1:K37" etc:filterBottomFollowUsedRange="0"/>
  <tableColumns count="11">
    <tableColumn id="1" name="年份"/>
    <tableColumn id="2" name="月份"/>
    <tableColumn id="3" name="项目区域"/>
    <tableColumn id="4" name="项目经理"/>
    <tableColumn id="5" name="项目名"/>
    <tableColumn id="6" name="临停收入"/>
    <tableColumn id="7" name="代金券收入"/>
    <tableColumn id="8" name="包月收入"/>
    <tableColumn id="9" name="总收入"/>
    <tableColumn id="10" name="去年总收入"/>
    <tableColumn id="11" name="增长率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表6" displayName="表6" ref="A1:K37" totalsRowShown="0">
  <autoFilter xmlns:etc="http://www.wps.cn/officeDocument/2017/etCustomData" ref="A1:K37" etc:filterBottomFollowUsedRange="0"/>
  <tableColumns count="11">
    <tableColumn id="1" name="年份"/>
    <tableColumn id="2" name="月份"/>
    <tableColumn id="3" name="项目区域"/>
    <tableColumn id="4" name="项目经理"/>
    <tableColumn id="5" name="项目名"/>
    <tableColumn id="6" name="临停收入"/>
    <tableColumn id="7" name="代金券收入"/>
    <tableColumn id="8" name="包月收入"/>
    <tableColumn id="9" name="总收入"/>
    <tableColumn id="10" name="去年总收入"/>
    <tableColumn id="11" name="增长率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表7" displayName="表7" ref="A1:K37" totalsRowShown="0">
  <autoFilter xmlns:etc="http://www.wps.cn/officeDocument/2017/etCustomData" ref="A1:K37" etc:filterBottomFollowUsedRange="0"/>
  <tableColumns count="11">
    <tableColumn id="1" name="年份"/>
    <tableColumn id="2" name="月份"/>
    <tableColumn id="3" name="项目区域"/>
    <tableColumn id="4" name="项目经理"/>
    <tableColumn id="5" name="项目名"/>
    <tableColumn id="6" name="临停收入"/>
    <tableColumn id="7" name="代金券收入"/>
    <tableColumn id="8" name="包月收入"/>
    <tableColumn id="9" name="总收入"/>
    <tableColumn id="10" name="去年总收入"/>
    <tableColumn id="11" name="增长率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表8" displayName="表8" ref="A1:K13" totalsRowShown="0">
  <autoFilter xmlns:etc="http://www.wps.cn/officeDocument/2017/etCustomData" ref="A1:K13" etc:filterBottomFollowUsedRange="0"/>
  <tableColumns count="11">
    <tableColumn id="1" name="年份"/>
    <tableColumn id="2" name="月份"/>
    <tableColumn id="3" name="项目区域"/>
    <tableColumn id="4" name="项目经理"/>
    <tableColumn id="5" name="项目名"/>
    <tableColumn id="6" name="临停收入"/>
    <tableColumn id="7" name="代金券收入"/>
    <tableColumn id="8" name="包月收入"/>
    <tableColumn id="9" name="总收入"/>
    <tableColumn id="10" name="去年总收入"/>
    <tableColumn id="11" name="增长率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表9" displayName="表9" ref="A1:K2" totalsRowShown="0">
  <autoFilter xmlns:etc="http://www.wps.cn/officeDocument/2017/etCustomData" ref="A1:K2" etc:filterBottomFollowUsedRange="0"/>
  <tableColumns count="11">
    <tableColumn id="1" name="年份"/>
    <tableColumn id="2" name="月份"/>
    <tableColumn id="3" name="项目区域"/>
    <tableColumn id="4" name="项目经理"/>
    <tableColumn id="5" name="项目名"/>
    <tableColumn id="6" name="临停收入"/>
    <tableColumn id="7" name="代金券收入"/>
    <tableColumn id="8" name="包月收入"/>
    <tableColumn id="9" name="总收入"/>
    <tableColumn id="10" name="去年总收入"/>
    <tableColumn id="11" name="增长率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表10" displayName="表10" ref="A1:K2" totalsRowShown="0">
  <autoFilter xmlns:etc="http://www.wps.cn/officeDocument/2017/etCustomData" ref="A1:K2" etc:filterBottomFollowUsedRange="0"/>
  <tableColumns count="11">
    <tableColumn id="1" name="年份"/>
    <tableColumn id="2" name="月份"/>
    <tableColumn id="3" name="项目区域"/>
    <tableColumn id="4" name="项目经理"/>
    <tableColumn id="5" name="项目名"/>
    <tableColumn id="6" name="临停收入"/>
    <tableColumn id="7" name="代金券收入"/>
    <tableColumn id="8" name="包月收入"/>
    <tableColumn id="9" name="总收入"/>
    <tableColumn id="10" name="去年总收入"/>
    <tableColumn id="11" name="增长率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表11" displayName="表11" ref="A1:K2" totalsRowShown="0">
  <autoFilter xmlns:etc="http://www.wps.cn/officeDocument/2017/etCustomData" ref="A1:K2" etc:filterBottomFollowUsedRange="0"/>
  <tableColumns count="11">
    <tableColumn id="1" name="年份"/>
    <tableColumn id="2" name="月份"/>
    <tableColumn id="3" name="项目区域"/>
    <tableColumn id="4" name="项目经理"/>
    <tableColumn id="5" name="项目名"/>
    <tableColumn id="6" name="临停收入"/>
    <tableColumn id="7" name="代金券收入"/>
    <tableColumn id="8" name="包月收入"/>
    <tableColumn id="9" name="总收入"/>
    <tableColumn id="10" name="去年总收入"/>
    <tableColumn id="11" name="增长率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3" name="表13" displayName="表13" ref="A1:K2" insertRow="1" totalsRowShown="0">
  <autoFilter xmlns:etc="http://www.wps.cn/officeDocument/2017/etCustomData" ref="A1:K2" etc:filterBottomFollowUsedRange="0"/>
  <tableColumns count="11">
    <tableColumn id="1" name="年份"/>
    <tableColumn id="2" name="月份"/>
    <tableColumn id="3" name="项目区域"/>
    <tableColumn id="4" name="项目经理"/>
    <tableColumn id="5" name="项目名"/>
    <tableColumn id="6" name="临停收入"/>
    <tableColumn id="7" name="代金券收入"/>
    <tableColumn id="8" name="包月收入"/>
    <tableColumn id="9" name="总收入"/>
    <tableColumn id="10" name="去年总收入"/>
    <tableColumn id="11" name="增长率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5" name="表15" displayName="表15" ref="A1:H13" totalsRowShown="0">
  <autoFilter xmlns:etc="http://www.wps.cn/officeDocument/2017/etCustomData" ref="A1:H13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6" name="表16" displayName="表16" ref="A1:H13" totalsRowShown="0">
  <autoFilter xmlns:etc="http://www.wps.cn/officeDocument/2017/etCustomData" ref="A1:H13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7" name="表17" displayName="表17" ref="A1:H13" totalsRowShown="0">
  <autoFilter xmlns:etc="http://www.wps.cn/officeDocument/2017/etCustomData" ref="A1:H13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8" name="表18" displayName="表18" ref="A1:H13" totalsRowShown="0">
  <autoFilter xmlns:etc="http://www.wps.cn/officeDocument/2017/etCustomData" ref="A1:H13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4" name="表14" displayName="表14" ref="A1:H157" totalsRowShown="0">
  <autoFilter xmlns:etc="http://www.wps.cn/officeDocument/2017/etCustomData" ref="A1:H157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9" name="表19" displayName="表19" ref="A1:H145" totalsRowShown="0">
  <autoFilter xmlns:etc="http://www.wps.cn/officeDocument/2017/etCustomData" ref="A1:H145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20" name="表20" displayName="表20" ref="A1:H2" totalsRowShown="0">
  <autoFilter xmlns:etc="http://www.wps.cn/officeDocument/2017/etCustomData" ref="A1:H2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1" name="表21" displayName="表21" ref="A1:H2" totalsRowShown="0">
  <autoFilter xmlns:etc="http://www.wps.cn/officeDocument/2017/etCustomData" ref="A1:H2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2" name="表22" displayName="表22" ref="A1:H2" totalsRowShown="0">
  <autoFilter xmlns:etc="http://www.wps.cn/officeDocument/2017/etCustomData" ref="A1:H2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3" name="表23" displayName="表23" ref="A1:H13" totalsRowShown="0">
  <autoFilter xmlns:etc="http://www.wps.cn/officeDocument/2017/etCustomData" ref="A1:H13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4" name="表24" displayName="表24" ref="A1:H2" totalsRowShown="0">
  <autoFilter xmlns:etc="http://www.wps.cn/officeDocument/2017/etCustomData" ref="A1:H2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5" name="表25" displayName="表25" ref="A1:H2" totalsRowShown="0">
  <autoFilter xmlns:etc="http://www.wps.cn/officeDocument/2017/etCustomData" ref="A1:H2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6" name="表26" displayName="表26" ref="A1:H13" totalsRowShown="0">
  <autoFilter xmlns:etc="http://www.wps.cn/officeDocument/2017/etCustomData" ref="A1:H13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7" name="表27" displayName="表27" ref="A1:H2" totalsRowShown="0">
  <autoFilter xmlns:etc="http://www.wps.cn/officeDocument/2017/etCustomData" ref="A1:H2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8" name="表28" displayName="表28" ref="A1:H2" totalsRowShown="0">
  <autoFilter xmlns:etc="http://www.wps.cn/officeDocument/2017/etCustomData" ref="A1:H2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9" name="表29" displayName="表29" ref="A1:H2" totalsRowShown="0">
  <autoFilter xmlns:etc="http://www.wps.cn/officeDocument/2017/etCustomData" ref="A1:H2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30" name="表30" displayName="表30" ref="A1:H2" totalsRowShown="0">
  <autoFilter xmlns:etc="http://www.wps.cn/officeDocument/2017/etCustomData" ref="A1:H2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1" name="表31" displayName="表31" ref="A1:H2" totalsRowShown="0">
  <autoFilter xmlns:etc="http://www.wps.cn/officeDocument/2017/etCustomData" ref="A1:H2" etc:filterBottomFollowUsedRange="0"/>
  <tableColumns count="8">
    <tableColumn id="1" name="年份"/>
    <tableColumn id="2" name="月份"/>
    <tableColumn id="3" name="项目名"/>
    <tableColumn id="4" name="临停收入"/>
    <tableColumn id="5" name="总收入"/>
    <tableColumn id="6" name="车位数"/>
    <tableColumn id="7" name="收费标准"/>
    <tableColumn id="8" name="预测收入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12" name="表12" displayName="表12" ref="A1:K13" totalsRowShown="0">
  <autoFilter xmlns:etc="http://www.wps.cn/officeDocument/2017/etCustomData" ref="A1:K13" etc:filterBottomFollowUsedRange="0"/>
  <tableColumns count="11">
    <tableColumn id="1" name="年份"/>
    <tableColumn id="2" name="月份"/>
    <tableColumn id="3" name="项目区域"/>
    <tableColumn id="4" name="项目经理"/>
    <tableColumn id="5" name="项目名"/>
    <tableColumn id="6" name="临停收入"/>
    <tableColumn id="7" name="代金券收入"/>
    <tableColumn id="8" name="包月收入"/>
    <tableColumn id="9" name="总收入"/>
    <tableColumn id="10" name="去年总收入"/>
    <tableColumn id="11" name="增长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4.xml.rels><?xml version="1.0" encoding="UTF-8" standalone="yes"?>
<Relationships xmlns="http://schemas.openxmlformats.org/package/2006/relationships"><Relationship Id="rId4" Type="http://schemas.microsoft.com/office/2007/relationships/slicer" Target="../slicers/slicer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zoomScale="115" zoomScaleNormal="115" workbookViewId="0">
      <selection activeCell="C33" sqref="C33"/>
    </sheetView>
  </sheetViews>
  <sheetFormatPr defaultColWidth="9" defaultRowHeight="14.25"/>
  <cols>
    <col min="1" max="2" width="13.625" customWidth="1"/>
    <col min="3" max="3" width="26.875" customWidth="1"/>
    <col min="4" max="5" width="13.625" customWidth="1"/>
    <col min="6" max="6" width="16" customWidth="1"/>
    <col min="7" max="7" width="18.125" customWidth="1"/>
    <col min="8" max="8" width="18.875" customWidth="1"/>
    <col min="9" max="9" width="13.25" customWidth="1"/>
    <col min="10" max="10" width="15" customWidth="1"/>
    <col min="11" max="11" width="14.125" customWidth="1"/>
    <col min="12" max="12" width="13.375" customWidth="1"/>
    <col min="13" max="13" width="12.25" customWidth="1"/>
    <col min="14" max="14" width="13.5" customWidth="1"/>
  </cols>
  <sheetData>
    <row r="1" spans="1:8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>
      <c r="A2" s="30">
        <v>2022</v>
      </c>
      <c r="B2" s="31">
        <v>1</v>
      </c>
      <c r="C2" s="30" t="s">
        <v>8</v>
      </c>
      <c r="D2" s="32">
        <v>115976</v>
      </c>
      <c r="E2" s="33">
        <v>343526</v>
      </c>
      <c r="F2" s="30">
        <v>181</v>
      </c>
      <c r="G2" s="30">
        <v>4</v>
      </c>
      <c r="H2" s="34">
        <f>E2/F2/G2*项目看板!$C$38*项目看板!$E$38*项目看板!$G$38</f>
        <v>755377.613259669</v>
      </c>
    </row>
    <row r="3" spans="1:8">
      <c r="A3" s="30">
        <v>2022</v>
      </c>
      <c r="B3" s="30">
        <v>2</v>
      </c>
      <c r="C3" s="30" t="s">
        <v>8</v>
      </c>
      <c r="D3" s="32">
        <v>163640</v>
      </c>
      <c r="E3" s="33">
        <v>409588</v>
      </c>
      <c r="F3" s="30">
        <v>181</v>
      </c>
      <c r="G3" s="30">
        <v>4</v>
      </c>
      <c r="H3" s="34">
        <f>E3/F3/G3*项目看板!$C$38*项目看板!$E$38*项目看板!$G$38</f>
        <v>900641.016574586</v>
      </c>
    </row>
    <row r="4" spans="1:8">
      <c r="A4" s="30">
        <v>2022</v>
      </c>
      <c r="B4" s="30">
        <v>3</v>
      </c>
      <c r="C4" s="30" t="s">
        <v>8</v>
      </c>
      <c r="D4" s="32">
        <v>120392</v>
      </c>
      <c r="E4" s="33">
        <v>380016</v>
      </c>
      <c r="F4" s="30">
        <v>181</v>
      </c>
      <c r="G4" s="30">
        <v>4</v>
      </c>
      <c r="H4" s="34">
        <f>E4/F4/G4*项目看板!$C$38*项目看板!$E$38*项目看板!$G$38</f>
        <v>835615.29281768</v>
      </c>
    </row>
    <row r="5" spans="1:8">
      <c r="A5" s="30">
        <v>2022</v>
      </c>
      <c r="B5" s="30">
        <v>4</v>
      </c>
      <c r="C5" s="30" t="s">
        <v>8</v>
      </c>
      <c r="D5" s="32">
        <v>95148</v>
      </c>
      <c r="E5" s="33">
        <v>237098</v>
      </c>
      <c r="F5" s="30">
        <v>181</v>
      </c>
      <c r="G5" s="30">
        <v>4</v>
      </c>
      <c r="H5" s="34">
        <f>E5/F5/G5*项目看板!$C$38*项目看板!$E$38*项目看板!$G$38</f>
        <v>521353.613259669</v>
      </c>
    </row>
    <row r="6" spans="1:8">
      <c r="A6" s="30">
        <v>2022</v>
      </c>
      <c r="B6" s="30">
        <v>5</v>
      </c>
      <c r="C6" s="30" t="s">
        <v>8</v>
      </c>
      <c r="D6" s="32">
        <v>90992</v>
      </c>
      <c r="E6" s="33">
        <v>210292</v>
      </c>
      <c r="F6" s="30">
        <v>181</v>
      </c>
      <c r="G6" s="30">
        <v>4</v>
      </c>
      <c r="H6" s="34">
        <f>E6/F6/G6*项目看板!$C$38*项目看板!$E$38*项目看板!$G$38</f>
        <v>462410.033149171</v>
      </c>
    </row>
    <row r="7" spans="1:8">
      <c r="A7" s="30">
        <v>2022</v>
      </c>
      <c r="B7" s="30">
        <v>6</v>
      </c>
      <c r="C7" s="30" t="s">
        <v>8</v>
      </c>
      <c r="D7" s="32">
        <v>130324</v>
      </c>
      <c r="E7" s="33">
        <v>257524</v>
      </c>
      <c r="F7" s="30">
        <v>181</v>
      </c>
      <c r="G7" s="30">
        <v>4</v>
      </c>
      <c r="H7" s="34">
        <f>E7/F7/G7*项目看板!$C$38*项目看板!$E$38*项目看板!$G$38</f>
        <v>566268.243093923</v>
      </c>
    </row>
    <row r="8" spans="1:8">
      <c r="A8" s="30">
        <v>2022</v>
      </c>
      <c r="B8" s="30">
        <v>7</v>
      </c>
      <c r="C8" s="30" t="s">
        <v>8</v>
      </c>
      <c r="D8" s="32">
        <v>83576</v>
      </c>
      <c r="E8" s="33">
        <v>88135.79</v>
      </c>
      <c r="F8" s="30">
        <v>181</v>
      </c>
      <c r="G8" s="30">
        <v>4</v>
      </c>
      <c r="H8" s="34">
        <f>E8/F8/G8*项目看板!$C$38*项目看板!$E$38*项目看板!$G$38</f>
        <v>193801.35038674</v>
      </c>
    </row>
    <row r="9" spans="1:8">
      <c r="A9" s="30">
        <v>2022</v>
      </c>
      <c r="B9" s="30">
        <v>8</v>
      </c>
      <c r="C9" s="30" t="s">
        <v>8</v>
      </c>
      <c r="D9" s="32">
        <v>95972</v>
      </c>
      <c r="E9" s="33">
        <v>152378.04</v>
      </c>
      <c r="F9" s="30">
        <v>181</v>
      </c>
      <c r="G9" s="30">
        <v>4</v>
      </c>
      <c r="H9" s="34">
        <f>E9/F9/G9*项目看板!$C$38*项目看板!$E$38*项目看板!$G$38</f>
        <v>335063.314475138</v>
      </c>
    </row>
    <row r="10" spans="1:8">
      <c r="A10" s="30">
        <v>2022</v>
      </c>
      <c r="B10" s="30">
        <v>9</v>
      </c>
      <c r="C10" s="30" t="s">
        <v>8</v>
      </c>
      <c r="D10" s="32">
        <v>108712</v>
      </c>
      <c r="E10" s="33">
        <v>297813.94</v>
      </c>
      <c r="F10" s="30">
        <v>181</v>
      </c>
      <c r="G10" s="30">
        <v>4</v>
      </c>
      <c r="H10" s="34">
        <f>E10/F10/G10*项目看板!$C$38*项目看板!$E$38*项目看板!$G$38</f>
        <v>654861.591823204</v>
      </c>
    </row>
    <row r="11" spans="1:8">
      <c r="A11" s="30">
        <v>2022</v>
      </c>
      <c r="B11" s="30">
        <v>10</v>
      </c>
      <c r="C11" s="30" t="s">
        <v>8</v>
      </c>
      <c r="D11" s="32">
        <v>105428</v>
      </c>
      <c r="E11" s="33">
        <v>304473.37</v>
      </c>
      <c r="F11" s="30">
        <v>181</v>
      </c>
      <c r="G11" s="30">
        <v>4</v>
      </c>
      <c r="H11" s="34">
        <f>E11/F11/G11*项目看板!$C$38*项目看板!$E$38*项目看板!$G$38</f>
        <v>669504.979337017</v>
      </c>
    </row>
    <row r="12" spans="1:8">
      <c r="A12" s="30">
        <v>2022</v>
      </c>
      <c r="B12" s="30">
        <v>11</v>
      </c>
      <c r="C12" s="30" t="s">
        <v>8</v>
      </c>
      <c r="D12" s="32">
        <v>112848</v>
      </c>
      <c r="E12" s="33">
        <v>285404.14</v>
      </c>
      <c r="F12" s="30">
        <v>181</v>
      </c>
      <c r="G12" s="30">
        <v>4</v>
      </c>
      <c r="H12" s="34">
        <f>E12/F12/G12*项目看板!$C$38*项目看板!$E$38*项目看板!$G$38</f>
        <v>627573.744309392</v>
      </c>
    </row>
    <row r="13" spans="1:8">
      <c r="A13" s="30">
        <v>2022</v>
      </c>
      <c r="B13" s="30">
        <v>12</v>
      </c>
      <c r="C13" s="30" t="s">
        <v>8</v>
      </c>
      <c r="D13" s="32">
        <v>101956</v>
      </c>
      <c r="E13" s="33">
        <v>261780.17</v>
      </c>
      <c r="F13" s="30">
        <v>181</v>
      </c>
      <c r="G13" s="30">
        <v>4</v>
      </c>
      <c r="H13" s="34">
        <f>E13/F13/G13*项目看板!$C$38*项目看板!$E$38*项目看板!$G$38</f>
        <v>575627.114143646</v>
      </c>
    </row>
    <row r="14" spans="1:8">
      <c r="A14" s="30">
        <v>2022</v>
      </c>
      <c r="B14" s="30">
        <v>1</v>
      </c>
      <c r="C14" s="30" t="s">
        <v>9</v>
      </c>
      <c r="D14" s="35">
        <v>44407.44</v>
      </c>
      <c r="E14" s="33">
        <v>78786.79</v>
      </c>
      <c r="F14" s="30">
        <v>369</v>
      </c>
      <c r="G14" s="30">
        <v>5</v>
      </c>
      <c r="H14" s="34">
        <f>E14/F14/G14*项目看板!$C$38*项目看板!$E$38*项目看板!$G$38</f>
        <v>67982.964596206</v>
      </c>
    </row>
    <row r="15" spans="1:8">
      <c r="A15" s="30">
        <v>2022</v>
      </c>
      <c r="B15" s="30">
        <v>2</v>
      </c>
      <c r="C15" s="30" t="s">
        <v>9</v>
      </c>
      <c r="D15" s="35">
        <v>60783.79</v>
      </c>
      <c r="E15" s="33">
        <v>107164.79</v>
      </c>
      <c r="F15" s="30">
        <v>369</v>
      </c>
      <c r="G15" s="30">
        <v>5</v>
      </c>
      <c r="H15" s="34">
        <f>E15/F15/G15*项目看板!$C$38*项目看板!$E$38*项目看板!$G$38</f>
        <v>92469.5640542005</v>
      </c>
    </row>
    <row r="16" spans="1:8">
      <c r="A16" s="30">
        <v>2022</v>
      </c>
      <c r="B16" s="30">
        <v>3</v>
      </c>
      <c r="C16" s="30" t="s">
        <v>9</v>
      </c>
      <c r="D16" s="35">
        <v>54247.98</v>
      </c>
      <c r="E16" s="33">
        <v>100513.98</v>
      </c>
      <c r="F16" s="30">
        <v>369</v>
      </c>
      <c r="G16" s="30">
        <v>5</v>
      </c>
      <c r="H16" s="34">
        <f>E16/F16/G16*项目看板!$C$38*项目看板!$E$38*项目看板!$G$38</f>
        <v>86730.7621463415</v>
      </c>
    </row>
    <row r="17" spans="1:9">
      <c r="A17" s="30">
        <v>2022</v>
      </c>
      <c r="B17" s="30">
        <v>4</v>
      </c>
      <c r="C17" s="30" t="s">
        <v>9</v>
      </c>
      <c r="D17" s="35">
        <v>59647.28</v>
      </c>
      <c r="E17" s="33">
        <v>106995.28</v>
      </c>
      <c r="F17" s="30">
        <v>369</v>
      </c>
      <c r="G17" s="30">
        <v>5</v>
      </c>
      <c r="H17" s="34">
        <f>E17/F17/G17*项目看板!$C$38*项目看板!$E$38*项目看板!$G$38</f>
        <v>92323.2985149052</v>
      </c>
    </row>
    <row r="18" spans="1:9">
      <c r="A18" s="30">
        <v>2022</v>
      </c>
      <c r="B18" s="30">
        <v>5</v>
      </c>
      <c r="C18" s="30" t="s">
        <v>9</v>
      </c>
      <c r="D18" s="35">
        <v>61188.01</v>
      </c>
      <c r="E18" s="33">
        <v>118610.01</v>
      </c>
      <c r="F18" s="30">
        <v>369</v>
      </c>
      <c r="G18" s="30">
        <v>5</v>
      </c>
      <c r="H18" s="34">
        <f>E18/F18/G18*项目看板!$C$38*项目看板!$E$38*项目看板!$G$38</f>
        <v>102345.331121951</v>
      </c>
    </row>
    <row r="19" spans="1:9">
      <c r="A19" s="30">
        <v>2022</v>
      </c>
      <c r="B19" s="30">
        <v>6</v>
      </c>
      <c r="C19" s="30" t="s">
        <v>9</v>
      </c>
      <c r="D19" s="35">
        <v>75321.21</v>
      </c>
      <c r="E19" s="33">
        <v>136356.21</v>
      </c>
      <c r="F19" s="30">
        <v>369</v>
      </c>
      <c r="G19" s="30">
        <v>5</v>
      </c>
      <c r="H19" s="34">
        <f>E19/F19/G19*项目看板!$C$38*项目看板!$E$38*项目看板!$G$38</f>
        <v>117658.041365854</v>
      </c>
    </row>
    <row r="20" spans="1:9">
      <c r="A20" s="30">
        <v>2022</v>
      </c>
      <c r="B20" s="30">
        <v>7</v>
      </c>
      <c r="C20" s="30" t="s">
        <v>9</v>
      </c>
      <c r="D20" s="35">
        <v>58195.01</v>
      </c>
      <c r="E20" s="33">
        <v>56067.09</v>
      </c>
      <c r="F20" s="30">
        <v>369</v>
      </c>
      <c r="G20" s="30">
        <v>5</v>
      </c>
      <c r="H20" s="34">
        <f>E20/F20/G20*项目看板!$C$38*项目看板!$E$38*项目看板!$G$38</f>
        <v>48378.7573333333</v>
      </c>
    </row>
    <row r="21" spans="1:9">
      <c r="A21" s="30">
        <v>2022</v>
      </c>
      <c r="B21" s="30">
        <v>8</v>
      </c>
      <c r="C21" s="30" t="s">
        <v>9</v>
      </c>
      <c r="D21" s="35">
        <v>70057.57</v>
      </c>
      <c r="E21" s="33">
        <v>121633.64</v>
      </c>
      <c r="F21" s="30">
        <v>369</v>
      </c>
      <c r="G21" s="30">
        <v>5</v>
      </c>
      <c r="H21" s="34">
        <f>E21/F21/G21*项目看板!$C$38*项目看板!$E$38*项目看板!$G$38</f>
        <v>104954.338688347</v>
      </c>
    </row>
    <row r="22" spans="1:9">
      <c r="A22" s="30">
        <v>2022</v>
      </c>
      <c r="B22" s="30">
        <v>9</v>
      </c>
      <c r="C22" s="30" t="s">
        <v>9</v>
      </c>
      <c r="D22" s="35">
        <v>61977.84</v>
      </c>
      <c r="E22" s="33">
        <v>113791.19</v>
      </c>
      <c r="F22" s="30">
        <v>369</v>
      </c>
      <c r="G22" s="30">
        <v>5</v>
      </c>
      <c r="H22" s="34">
        <f>E22/F22/G22*项目看板!$C$38*项目看板!$E$38*项目看板!$G$38</f>
        <v>98187.3032411924</v>
      </c>
    </row>
    <row r="23" spans="1:9">
      <c r="A23" s="30">
        <v>2022</v>
      </c>
      <c r="B23" s="30">
        <v>10</v>
      </c>
      <c r="C23" s="30" t="s">
        <v>9</v>
      </c>
      <c r="D23" s="35">
        <v>61683.86</v>
      </c>
      <c r="E23" s="33">
        <v>107805.82</v>
      </c>
      <c r="F23" s="30">
        <v>369</v>
      </c>
      <c r="G23" s="30">
        <v>5</v>
      </c>
      <c r="H23" s="34">
        <f>E23/F23/G23*项目看板!$C$38*项目看板!$E$38*项目看板!$G$38</f>
        <v>93022.691295393</v>
      </c>
    </row>
    <row r="24" spans="1:9">
      <c r="A24" s="30">
        <v>2022</v>
      </c>
      <c r="B24" s="30">
        <v>11</v>
      </c>
      <c r="C24" s="30" t="s">
        <v>9</v>
      </c>
      <c r="D24" s="35">
        <v>66506.25</v>
      </c>
      <c r="E24" s="33">
        <v>112042.79</v>
      </c>
      <c r="F24" s="30">
        <v>369</v>
      </c>
      <c r="G24" s="30">
        <v>5</v>
      </c>
      <c r="H24" s="34">
        <f>E24/F24/G24*项目看板!$C$38*项目看板!$E$38*项目看板!$G$38</f>
        <v>96678.6567371274</v>
      </c>
    </row>
    <row r="25" spans="1:9">
      <c r="A25" s="30">
        <v>2022</v>
      </c>
      <c r="B25" s="30">
        <v>12</v>
      </c>
      <c r="C25" s="30" t="s">
        <v>9</v>
      </c>
      <c r="D25" s="35">
        <v>67461.35</v>
      </c>
      <c r="E25" s="33">
        <v>121216.57</v>
      </c>
      <c r="F25" s="30">
        <v>369</v>
      </c>
      <c r="G25" s="30">
        <v>5</v>
      </c>
      <c r="H25" s="34">
        <f>E25/F25/G25*项目看板!$C$38*项目看板!$E$38*项目看板!$G$38</f>
        <v>104594.460401084</v>
      </c>
    </row>
    <row r="26" spans="1:9">
      <c r="A26" s="30">
        <v>2022</v>
      </c>
      <c r="B26" s="30">
        <v>1</v>
      </c>
      <c r="C26" s="30" t="s">
        <v>10</v>
      </c>
      <c r="D26" s="35">
        <v>53810</v>
      </c>
      <c r="E26" s="33">
        <v>143230</v>
      </c>
      <c r="F26" s="30">
        <v>260</v>
      </c>
      <c r="G26" s="30">
        <v>5</v>
      </c>
      <c r="H26" s="34">
        <f>E26/F26/G26*项目看板!$C$38*项目看板!$E$38*项目看板!$G$38</f>
        <v>175401.661538462</v>
      </c>
      <c r="I26" s="34">
        <f>SUM(H26:H37)</f>
        <v>3075086.46726154</v>
      </c>
    </row>
    <row r="27" spans="1:9">
      <c r="A27" s="30">
        <v>2022</v>
      </c>
      <c r="B27" s="30">
        <v>2</v>
      </c>
      <c r="C27" s="30" t="s">
        <v>10</v>
      </c>
      <c r="D27" s="35">
        <v>70545</v>
      </c>
      <c r="E27" s="33">
        <v>205471</v>
      </c>
      <c r="F27" s="30">
        <v>260</v>
      </c>
      <c r="G27" s="30">
        <v>5</v>
      </c>
      <c r="H27" s="34">
        <f>E27/F27/G27*项目看板!$C$38*项目看板!$E$38*项目看板!$G$38</f>
        <v>251622.947692308</v>
      </c>
    </row>
    <row r="28" spans="1:9">
      <c r="A28" s="30">
        <v>2022</v>
      </c>
      <c r="B28" s="30">
        <v>3</v>
      </c>
      <c r="C28" s="30" t="s">
        <v>10</v>
      </c>
      <c r="D28" s="35">
        <v>77260</v>
      </c>
      <c r="E28" s="33">
        <v>214306</v>
      </c>
      <c r="F28" s="30">
        <v>260</v>
      </c>
      <c r="G28" s="30">
        <v>5</v>
      </c>
      <c r="H28" s="34">
        <f>E28/F28/G28*项目看板!$C$38*项目看板!$E$38*项目看板!$G$38</f>
        <v>262442.424615385</v>
      </c>
    </row>
    <row r="29" spans="1:9">
      <c r="A29" s="30">
        <v>2022</v>
      </c>
      <c r="B29" s="30">
        <v>4</v>
      </c>
      <c r="C29" s="30" t="s">
        <v>10</v>
      </c>
      <c r="D29" s="35">
        <v>91540</v>
      </c>
      <c r="E29" s="33">
        <v>227056</v>
      </c>
      <c r="F29" s="30">
        <v>260</v>
      </c>
      <c r="G29" s="30">
        <v>5</v>
      </c>
      <c r="H29" s="34">
        <f>E29/F29/G29*项目看板!$C$38*项目看板!$E$38*项目看板!$G$38</f>
        <v>278056.270769231</v>
      </c>
    </row>
    <row r="30" spans="1:9">
      <c r="A30" s="30">
        <v>2022</v>
      </c>
      <c r="B30" s="30">
        <v>5</v>
      </c>
      <c r="C30" s="30" t="s">
        <v>10</v>
      </c>
      <c r="D30" s="35">
        <v>79775</v>
      </c>
      <c r="E30" s="33">
        <v>214551</v>
      </c>
      <c r="F30" s="30">
        <v>260</v>
      </c>
      <c r="G30" s="30">
        <v>5</v>
      </c>
      <c r="H30" s="34">
        <f>E30/F30/G30*项目看板!$C$38*项目看板!$E$38*项目看板!$G$38</f>
        <v>262742.455384615</v>
      </c>
    </row>
    <row r="31" spans="1:9">
      <c r="A31" s="30">
        <v>2022</v>
      </c>
      <c r="B31" s="30">
        <v>6</v>
      </c>
      <c r="C31" s="30" t="s">
        <v>10</v>
      </c>
      <c r="D31" s="35">
        <v>101170</v>
      </c>
      <c r="E31" s="33">
        <v>255586</v>
      </c>
      <c r="F31" s="30">
        <v>260</v>
      </c>
      <c r="G31" s="30">
        <v>5</v>
      </c>
      <c r="H31" s="34">
        <f>E31/F31/G31*项目看板!$C$38*项目看板!$E$38*项目看板!$G$38</f>
        <v>312994.547692308</v>
      </c>
    </row>
    <row r="32" spans="1:9">
      <c r="A32" s="30">
        <v>2022</v>
      </c>
      <c r="B32" s="30">
        <v>7</v>
      </c>
      <c r="C32" s="30" t="s">
        <v>10</v>
      </c>
      <c r="D32" s="35">
        <v>68990</v>
      </c>
      <c r="E32" s="33">
        <v>162142.61</v>
      </c>
      <c r="F32" s="30">
        <v>260</v>
      </c>
      <c r="G32" s="30">
        <v>5</v>
      </c>
      <c r="H32" s="34">
        <f>E32/F32/G32*项目看板!$C$38*项目看板!$E$38*项目看板!$G$38</f>
        <v>198562.334707692</v>
      </c>
    </row>
    <row r="33" spans="1:8">
      <c r="A33" s="30">
        <v>2022</v>
      </c>
      <c r="B33" s="30">
        <v>8</v>
      </c>
      <c r="C33" s="30" t="s">
        <v>10</v>
      </c>
      <c r="D33" s="35">
        <v>97155</v>
      </c>
      <c r="E33" s="33">
        <v>195452.51</v>
      </c>
      <c r="F33" s="30">
        <v>260</v>
      </c>
      <c r="G33" s="30">
        <v>5</v>
      </c>
      <c r="H33" s="34">
        <f>E33/F33/G33*项目看板!$C$38*项目看板!$E$38*项目看板!$G$38</f>
        <v>239354.150707692</v>
      </c>
    </row>
    <row r="34" spans="1:8">
      <c r="A34" s="30">
        <v>2022</v>
      </c>
      <c r="B34" s="30">
        <v>9</v>
      </c>
      <c r="C34" s="30" t="s">
        <v>10</v>
      </c>
      <c r="D34" s="35">
        <v>88995</v>
      </c>
      <c r="E34" s="33">
        <v>223751.23</v>
      </c>
      <c r="F34" s="30">
        <v>260</v>
      </c>
      <c r="G34" s="30">
        <v>5</v>
      </c>
      <c r="H34" s="34">
        <f>E34/F34/G34*项目看板!$C$38*项目看板!$E$38*项目看板!$G$38</f>
        <v>274009.198584615</v>
      </c>
    </row>
    <row r="35" spans="1:8">
      <c r="A35" s="30">
        <v>2022</v>
      </c>
      <c r="B35" s="30">
        <v>10</v>
      </c>
      <c r="C35" s="30" t="s">
        <v>10</v>
      </c>
      <c r="D35" s="35">
        <v>74825</v>
      </c>
      <c r="E35" s="33">
        <v>203678.74</v>
      </c>
      <c r="F35" s="30">
        <v>260</v>
      </c>
      <c r="G35" s="30">
        <v>5</v>
      </c>
      <c r="H35" s="34">
        <f>E35/F35/G35*项目看板!$C$38*项目看板!$E$38*项目看板!$G$38</f>
        <v>249428.118523077</v>
      </c>
    </row>
    <row r="36" spans="1:8">
      <c r="A36" s="30">
        <v>2022</v>
      </c>
      <c r="B36" s="30">
        <v>11</v>
      </c>
      <c r="C36" s="30" t="s">
        <v>10</v>
      </c>
      <c r="D36" s="30">
        <v>82975</v>
      </c>
      <c r="E36" s="33">
        <v>218507.51</v>
      </c>
      <c r="F36" s="30">
        <v>260</v>
      </c>
      <c r="G36" s="30">
        <v>5</v>
      </c>
      <c r="H36" s="34">
        <f>E36/F36/G36*项目看板!$C$38*项目看板!$E$38*项目看板!$G$38</f>
        <v>267587.6584</v>
      </c>
    </row>
    <row r="37" spans="1:8">
      <c r="A37" s="30">
        <v>2022</v>
      </c>
      <c r="B37" s="30">
        <v>12</v>
      </c>
      <c r="C37" s="30" t="s">
        <v>10</v>
      </c>
      <c r="D37" s="30">
        <v>82935</v>
      </c>
      <c r="E37" s="33">
        <v>247330.47</v>
      </c>
      <c r="F37" s="30">
        <v>260</v>
      </c>
      <c r="G37" s="30">
        <v>5</v>
      </c>
      <c r="H37" s="34">
        <f>E37/F37/G37*项目看板!$C$38*项目看板!$E$38*项目看板!$G$38</f>
        <v>302884.698646154</v>
      </c>
    </row>
    <row r="38" spans="1:8">
      <c r="A38" s="30">
        <v>2022</v>
      </c>
      <c r="B38" s="30">
        <v>1</v>
      </c>
      <c r="C38" s="30" t="s">
        <v>11</v>
      </c>
      <c r="D38" s="35">
        <v>214750</v>
      </c>
      <c r="E38" s="33">
        <v>215550</v>
      </c>
      <c r="F38" s="30">
        <v>170</v>
      </c>
      <c r="G38" s="30">
        <v>10</v>
      </c>
      <c r="H38" s="34">
        <f>E38/F38/G38*项目看板!$C$38*项目看板!$E$38*项目看板!$G$38</f>
        <v>201856.235294118</v>
      </c>
    </row>
    <row r="39" spans="1:8">
      <c r="A39" s="30">
        <v>2022</v>
      </c>
      <c r="B39" s="30">
        <v>2</v>
      </c>
      <c r="C39" s="30" t="s">
        <v>11</v>
      </c>
      <c r="D39" s="35">
        <v>361600</v>
      </c>
      <c r="E39" s="33">
        <v>364100</v>
      </c>
      <c r="F39" s="30">
        <v>170</v>
      </c>
      <c r="G39" s="30">
        <v>10</v>
      </c>
      <c r="H39" s="34">
        <f>E39/F39/G39*项目看板!$C$38*项目看板!$E$38*项目看板!$G$38</f>
        <v>340968.941176471</v>
      </c>
    </row>
    <row r="40" spans="1:8">
      <c r="A40" s="30">
        <v>2022</v>
      </c>
      <c r="B40" s="30">
        <v>3</v>
      </c>
      <c r="C40" s="30" t="s">
        <v>11</v>
      </c>
      <c r="D40" s="35">
        <v>320750</v>
      </c>
      <c r="E40" s="33">
        <v>323250</v>
      </c>
      <c r="F40" s="30">
        <v>170</v>
      </c>
      <c r="G40" s="30">
        <v>10</v>
      </c>
      <c r="H40" s="34">
        <f>E40/F40/G40*项目看板!$C$38*项目看板!$E$38*项目看板!$G$38</f>
        <v>302714.117647059</v>
      </c>
    </row>
    <row r="41" spans="1:8">
      <c r="A41" s="30">
        <v>2022</v>
      </c>
      <c r="B41" s="30">
        <v>4</v>
      </c>
      <c r="C41" s="30" t="s">
        <v>11</v>
      </c>
      <c r="D41" s="35">
        <v>347090</v>
      </c>
      <c r="E41" s="33">
        <v>349590</v>
      </c>
      <c r="F41" s="30">
        <v>170</v>
      </c>
      <c r="G41" s="30">
        <v>10</v>
      </c>
      <c r="H41" s="34">
        <f>E41/F41/G41*项目看板!$C$38*项目看板!$E$38*项目看板!$G$38</f>
        <v>327380.752941176</v>
      </c>
    </row>
    <row r="42" spans="1:8">
      <c r="A42" s="30">
        <v>2022</v>
      </c>
      <c r="B42" s="30">
        <v>5</v>
      </c>
      <c r="C42" s="30" t="s">
        <v>11</v>
      </c>
      <c r="D42" s="35">
        <v>350070</v>
      </c>
      <c r="E42" s="33">
        <v>352570</v>
      </c>
      <c r="F42" s="30">
        <v>170</v>
      </c>
      <c r="G42" s="30">
        <v>10</v>
      </c>
      <c r="H42" s="34">
        <f>E42/F42/G42*项目看板!$C$38*项目看板!$E$38*项目看板!$G$38</f>
        <v>330171.435294118</v>
      </c>
    </row>
    <row r="43" spans="1:8">
      <c r="A43" s="30">
        <v>2022</v>
      </c>
      <c r="B43" s="30">
        <v>6</v>
      </c>
      <c r="C43" s="30" t="s">
        <v>11</v>
      </c>
      <c r="D43" s="35">
        <v>466810</v>
      </c>
      <c r="E43" s="33">
        <v>469310</v>
      </c>
      <c r="F43" s="30">
        <v>170</v>
      </c>
      <c r="G43" s="30">
        <v>10</v>
      </c>
      <c r="H43" s="34">
        <f>E43/F43/G43*项目看板!$C$38*项目看板!$E$38*项目看板!$G$38</f>
        <v>439495.011764706</v>
      </c>
    </row>
    <row r="44" spans="1:8">
      <c r="A44" s="30">
        <v>2022</v>
      </c>
      <c r="B44" s="30">
        <v>7</v>
      </c>
      <c r="C44" s="30" t="s">
        <v>11</v>
      </c>
      <c r="D44" s="35">
        <v>338860</v>
      </c>
      <c r="E44" s="33">
        <v>338873.8</v>
      </c>
      <c r="F44" s="30">
        <v>170</v>
      </c>
      <c r="G44" s="30">
        <v>10</v>
      </c>
      <c r="H44" s="34">
        <f>E44/F44/G44*项目看板!$C$38*项目看板!$E$38*项目看板!$G$38</f>
        <v>317345.346823529</v>
      </c>
    </row>
    <row r="45" spans="1:8">
      <c r="A45" s="30">
        <v>2022</v>
      </c>
      <c r="B45" s="30">
        <v>8</v>
      </c>
      <c r="C45" s="30" t="s">
        <v>11</v>
      </c>
      <c r="D45" s="35">
        <v>409310</v>
      </c>
      <c r="E45" s="33">
        <v>411276.35</v>
      </c>
      <c r="F45" s="30">
        <v>170</v>
      </c>
      <c r="G45" s="30">
        <v>10</v>
      </c>
      <c r="H45" s="34">
        <f>E45/F45/G45*项目看板!$C$38*项目看板!$E$38*项目看板!$G$38</f>
        <v>385148.205411765</v>
      </c>
    </row>
    <row r="46" spans="1:8">
      <c r="A46" s="30">
        <v>2022</v>
      </c>
      <c r="B46" s="30">
        <v>9</v>
      </c>
      <c r="C46" s="30" t="s">
        <v>11</v>
      </c>
      <c r="D46" s="35">
        <v>369790</v>
      </c>
      <c r="E46" s="33">
        <v>371624.21</v>
      </c>
      <c r="F46" s="30">
        <v>170</v>
      </c>
      <c r="G46" s="30">
        <v>10</v>
      </c>
      <c r="H46" s="34">
        <f>E46/F46/G46*项目看板!$C$38*项目看板!$E$38*项目看板!$G$38</f>
        <v>348015.142541176</v>
      </c>
    </row>
    <row r="47" spans="1:8">
      <c r="A47" s="30">
        <v>2022</v>
      </c>
      <c r="B47" s="30">
        <v>10</v>
      </c>
      <c r="C47" s="30" t="s">
        <v>11</v>
      </c>
      <c r="D47" s="35">
        <v>373880</v>
      </c>
      <c r="E47" s="33">
        <v>375513.36</v>
      </c>
      <c r="F47" s="30">
        <v>170</v>
      </c>
      <c r="G47" s="30">
        <v>10</v>
      </c>
      <c r="H47" s="34">
        <f>E47/F47/G47*项目看板!$C$38*项目看板!$E$38*项目看板!$G$38</f>
        <v>351657.217129412</v>
      </c>
    </row>
    <row r="48" spans="1:8">
      <c r="A48" s="30">
        <v>2022</v>
      </c>
      <c r="B48" s="30">
        <v>11</v>
      </c>
      <c r="C48" s="30" t="s">
        <v>11</v>
      </c>
      <c r="D48" s="35">
        <v>365450</v>
      </c>
      <c r="E48" s="33">
        <v>367034.29</v>
      </c>
      <c r="F48" s="30">
        <v>170</v>
      </c>
      <c r="G48" s="30">
        <v>10</v>
      </c>
      <c r="H48" s="34">
        <f>E48/F48/G48*项目看板!$C$38*项目看板!$E$38*项目看板!$G$38</f>
        <v>343716.817458823</v>
      </c>
    </row>
    <row r="49" spans="1:8">
      <c r="A49" s="30">
        <v>2022</v>
      </c>
      <c r="B49" s="30">
        <v>12</v>
      </c>
      <c r="C49" s="30" t="s">
        <v>11</v>
      </c>
      <c r="D49" s="35">
        <v>335460</v>
      </c>
      <c r="E49" s="33">
        <v>337781.54</v>
      </c>
      <c r="F49" s="30">
        <v>170</v>
      </c>
      <c r="G49" s="30">
        <v>10</v>
      </c>
      <c r="H49" s="34">
        <f>E49/F49/G49*项目看板!$C$38*项目看板!$E$38*项目看板!$G$38</f>
        <v>316322.477458823</v>
      </c>
    </row>
    <row r="50" spans="1:8">
      <c r="A50" s="30">
        <v>2022</v>
      </c>
      <c r="B50" s="30">
        <v>1</v>
      </c>
      <c r="C50" s="30" t="s">
        <v>12</v>
      </c>
      <c r="D50" s="36">
        <v>52845</v>
      </c>
      <c r="E50" s="33">
        <v>72345</v>
      </c>
      <c r="F50" s="30">
        <v>111</v>
      </c>
      <c r="G50" s="30">
        <v>5</v>
      </c>
      <c r="H50" s="34">
        <f>E50/F50/G50*项目看板!$C$38*项目看板!$E$38*项目看板!$G$38</f>
        <v>207519.351351351</v>
      </c>
    </row>
    <row r="51" spans="1:8">
      <c r="A51" s="30">
        <v>2022</v>
      </c>
      <c r="B51" s="30">
        <v>2</v>
      </c>
      <c r="C51" s="30" t="s">
        <v>12</v>
      </c>
      <c r="D51" s="36">
        <v>84210</v>
      </c>
      <c r="E51" s="33">
        <v>106710</v>
      </c>
      <c r="F51" s="30">
        <v>111</v>
      </c>
      <c r="G51" s="30">
        <v>5</v>
      </c>
      <c r="H51" s="34">
        <f>E51/F51/G51*项目看板!$C$38*项目看板!$E$38*项目看板!$G$38</f>
        <v>306094.27027027</v>
      </c>
    </row>
    <row r="52" spans="1:8">
      <c r="A52" s="30">
        <v>2022</v>
      </c>
      <c r="B52" s="30">
        <v>3</v>
      </c>
      <c r="C52" s="30" t="s">
        <v>12</v>
      </c>
      <c r="D52" s="36">
        <v>69425</v>
      </c>
      <c r="E52" s="33">
        <v>91925</v>
      </c>
      <c r="F52" s="30">
        <v>111</v>
      </c>
      <c r="G52" s="30">
        <v>5</v>
      </c>
      <c r="H52" s="34">
        <f>E52/F52/G52*项目看板!$C$38*项目看板!$E$38*项目看板!$G$38</f>
        <v>263683.963963964</v>
      </c>
    </row>
    <row r="53" spans="1:8">
      <c r="A53" s="30">
        <v>2022</v>
      </c>
      <c r="B53" s="30">
        <v>4</v>
      </c>
      <c r="C53" s="30" t="s">
        <v>12</v>
      </c>
      <c r="D53" s="36">
        <v>82730</v>
      </c>
      <c r="E53" s="33">
        <v>104230</v>
      </c>
      <c r="F53" s="30">
        <v>111</v>
      </c>
      <c r="G53" s="30">
        <v>5</v>
      </c>
      <c r="H53" s="34">
        <f>E53/F53/G53*项目看板!$C$38*项目看板!$E$38*项目看板!$G$38</f>
        <v>298980.468468468</v>
      </c>
    </row>
    <row r="54" spans="1:8">
      <c r="A54" s="30">
        <v>2022</v>
      </c>
      <c r="B54" s="30">
        <v>5</v>
      </c>
      <c r="C54" s="30" t="s">
        <v>12</v>
      </c>
      <c r="D54" s="36">
        <v>80540</v>
      </c>
      <c r="E54" s="33">
        <v>101540</v>
      </c>
      <c r="F54" s="30">
        <v>111</v>
      </c>
      <c r="G54" s="30">
        <v>5</v>
      </c>
      <c r="H54" s="34">
        <f>E54/F54/G54*项目看板!$C$38*项目看板!$E$38*项目看板!$G$38</f>
        <v>291264.288288288</v>
      </c>
    </row>
    <row r="55" spans="1:8">
      <c r="A55" s="30">
        <v>2022</v>
      </c>
      <c r="B55" s="30">
        <v>6</v>
      </c>
      <c r="C55" s="30" t="s">
        <v>12</v>
      </c>
      <c r="D55" s="36">
        <v>91600</v>
      </c>
      <c r="E55" s="33">
        <v>116100</v>
      </c>
      <c r="F55" s="30">
        <v>111</v>
      </c>
      <c r="G55" s="30">
        <v>5</v>
      </c>
      <c r="H55" s="34">
        <f>E55/F55/G55*项目看板!$C$38*项目看板!$E$38*项目看板!$G$38</f>
        <v>333029.189189189</v>
      </c>
    </row>
    <row r="56" spans="1:8">
      <c r="A56" s="30">
        <v>2022</v>
      </c>
      <c r="B56" s="30">
        <v>7</v>
      </c>
      <c r="C56" s="30" t="s">
        <v>12</v>
      </c>
      <c r="D56" s="36">
        <v>65055</v>
      </c>
      <c r="E56" s="33">
        <v>68948.11</v>
      </c>
      <c r="F56" s="30">
        <v>111</v>
      </c>
      <c r="G56" s="30">
        <v>5</v>
      </c>
      <c r="H56" s="34">
        <f>E56/F56/G56*项目看板!$C$38*项目看板!$E$38*项目看板!$G$38</f>
        <v>197775.479495495</v>
      </c>
    </row>
    <row r="57" spans="1:8">
      <c r="A57" s="30">
        <v>2022</v>
      </c>
      <c r="B57" s="30">
        <v>8</v>
      </c>
      <c r="C57" s="30" t="s">
        <v>12</v>
      </c>
      <c r="D57" s="36">
        <v>77400</v>
      </c>
      <c r="E57" s="33">
        <v>100640.03</v>
      </c>
      <c r="F57" s="30">
        <v>111</v>
      </c>
      <c r="G57" s="30">
        <v>5</v>
      </c>
      <c r="H57" s="34">
        <f>E57/F57/G57*项目看板!$C$38*项目看板!$E$38*项目看板!$G$38</f>
        <v>288682.752720721</v>
      </c>
    </row>
    <row r="58" spans="1:8">
      <c r="A58" s="30">
        <v>2022</v>
      </c>
      <c r="B58" s="30">
        <v>9</v>
      </c>
      <c r="C58" s="30" t="s">
        <v>12</v>
      </c>
      <c r="D58" s="36">
        <v>79400</v>
      </c>
      <c r="E58" s="33">
        <v>102655.04</v>
      </c>
      <c r="F58" s="30">
        <v>111</v>
      </c>
      <c r="G58" s="30">
        <v>5</v>
      </c>
      <c r="H58" s="34">
        <f>E58/F58/G58*项目看板!$C$38*项目看板!$E$38*项目看板!$G$38</f>
        <v>294462.745369369</v>
      </c>
    </row>
    <row r="59" spans="1:8">
      <c r="A59" s="30">
        <v>2022</v>
      </c>
      <c r="B59" s="30">
        <v>10</v>
      </c>
      <c r="C59" s="30" t="s">
        <v>12</v>
      </c>
      <c r="D59" s="36">
        <v>79065</v>
      </c>
      <c r="E59" s="33">
        <v>101379.24</v>
      </c>
      <c r="F59" s="30">
        <v>111</v>
      </c>
      <c r="G59" s="30">
        <v>5</v>
      </c>
      <c r="H59" s="34">
        <f>E59/F59/G59*项目看板!$C$38*项目看板!$E$38*项目看板!$G$38</f>
        <v>290803.153297297</v>
      </c>
    </row>
    <row r="60" spans="1:8">
      <c r="A60" s="30">
        <v>2022</v>
      </c>
      <c r="B60" s="30">
        <v>11</v>
      </c>
      <c r="C60" s="30" t="s">
        <v>12</v>
      </c>
      <c r="D60" s="36">
        <v>75925</v>
      </c>
      <c r="E60" s="33">
        <v>102779.16</v>
      </c>
      <c r="F60" s="30">
        <v>111</v>
      </c>
      <c r="G60" s="30">
        <v>5</v>
      </c>
      <c r="H60" s="34">
        <f>E60/F60/G60*项目看板!$C$38*项目看板!$E$38*项目看板!$G$38</f>
        <v>294818.779675676</v>
      </c>
    </row>
    <row r="61" spans="1:8">
      <c r="A61" s="30">
        <v>2022</v>
      </c>
      <c r="B61" s="30">
        <v>12</v>
      </c>
      <c r="C61" s="30" t="s">
        <v>12</v>
      </c>
      <c r="D61" s="36">
        <v>83995</v>
      </c>
      <c r="E61" s="33">
        <v>117784.36</v>
      </c>
      <c r="F61" s="30">
        <v>111</v>
      </c>
      <c r="G61" s="30">
        <v>5</v>
      </c>
      <c r="H61" s="34">
        <f>E61/F61/G61*项目看板!$C$38*项目看板!$E$38*项目看板!$G$38</f>
        <v>337860.722738739</v>
      </c>
    </row>
    <row r="62" spans="1:8">
      <c r="A62">
        <v>2022</v>
      </c>
      <c r="B62" s="30">
        <v>5</v>
      </c>
      <c r="C62" t="s">
        <v>13</v>
      </c>
      <c r="D62" s="36">
        <v>43736</v>
      </c>
      <c r="E62" s="33">
        <v>66179</v>
      </c>
      <c r="F62" s="30">
        <v>1200</v>
      </c>
      <c r="G62" s="30">
        <v>5</v>
      </c>
      <c r="H62" s="34">
        <f>E62/F62/G62*项目看板!$C$38*项目看板!$E$38*项目看板!$G$38</f>
        <v>17559.4946666667</v>
      </c>
    </row>
    <row r="63" spans="1:8">
      <c r="A63">
        <v>2022</v>
      </c>
      <c r="B63" s="30">
        <v>6</v>
      </c>
      <c r="C63" t="s">
        <v>13</v>
      </c>
      <c r="D63" s="36">
        <v>65892.26</v>
      </c>
      <c r="E63" s="33">
        <v>131912.76</v>
      </c>
      <c r="F63" s="30">
        <v>1200</v>
      </c>
      <c r="G63" s="30">
        <v>5</v>
      </c>
      <c r="H63" s="34">
        <f>E63/F63/G63*项目看板!$C$38*项目看板!$E$38*项目看板!$G$38</f>
        <v>35000.85232</v>
      </c>
    </row>
    <row r="64" spans="1:8">
      <c r="A64">
        <v>2022</v>
      </c>
      <c r="B64" s="30">
        <v>7</v>
      </c>
      <c r="C64" t="s">
        <v>13</v>
      </c>
      <c r="D64" s="36">
        <v>49173.18</v>
      </c>
      <c r="E64" s="33">
        <v>89134.61</v>
      </c>
      <c r="F64" s="30">
        <v>1200</v>
      </c>
      <c r="G64" s="30">
        <v>5</v>
      </c>
      <c r="H64" s="34">
        <f>E64/F64/G64*项目看板!$C$38*项目看板!$E$38*项目看板!$G$38</f>
        <v>23650.3831866667</v>
      </c>
    </row>
    <row r="65" spans="1:8">
      <c r="A65">
        <v>2022</v>
      </c>
      <c r="B65" s="30">
        <v>8</v>
      </c>
      <c r="C65" t="s">
        <v>13</v>
      </c>
      <c r="D65" s="36">
        <v>55425.44</v>
      </c>
      <c r="E65" s="33">
        <v>129374.48</v>
      </c>
      <c r="F65" s="30">
        <v>1200</v>
      </c>
      <c r="G65" s="30">
        <v>5</v>
      </c>
      <c r="H65" s="34">
        <f>E65/F65/G65*项目看板!$C$38*项目看板!$E$38*项目看板!$G$38</f>
        <v>34327.3620266667</v>
      </c>
    </row>
    <row r="66" spans="1:8">
      <c r="A66">
        <v>2022</v>
      </c>
      <c r="B66" s="30">
        <v>9</v>
      </c>
      <c r="C66" t="s">
        <v>13</v>
      </c>
      <c r="D66" s="36">
        <v>56046.69</v>
      </c>
      <c r="E66" s="33">
        <v>131015.09</v>
      </c>
      <c r="F66" s="30">
        <v>1200</v>
      </c>
      <c r="G66" s="30">
        <v>5</v>
      </c>
      <c r="H66" s="34">
        <f>E66/F66/G66*项目看板!$C$38*项目看板!$E$38*项目看板!$G$38</f>
        <v>34762.6705466667</v>
      </c>
    </row>
    <row r="67" spans="1:8">
      <c r="A67">
        <v>2022</v>
      </c>
      <c r="B67" s="30">
        <v>10</v>
      </c>
      <c r="C67" t="s">
        <v>13</v>
      </c>
      <c r="D67" s="36">
        <v>51593.57</v>
      </c>
      <c r="E67" s="33">
        <v>124207.14</v>
      </c>
      <c r="F67" s="30">
        <v>1200</v>
      </c>
      <c r="G67" s="30">
        <v>5</v>
      </c>
      <c r="H67" s="34">
        <f>E67/F67/G67*项目看板!$C$38*项目看板!$E$38*项目看板!$G$38</f>
        <v>32956.29448</v>
      </c>
    </row>
    <row r="68" spans="1:8">
      <c r="A68">
        <v>2022</v>
      </c>
      <c r="B68" s="30">
        <v>11</v>
      </c>
      <c r="C68" t="s">
        <v>13</v>
      </c>
      <c r="D68" s="36">
        <v>58730.49</v>
      </c>
      <c r="E68" s="33">
        <v>149647.51</v>
      </c>
      <c r="F68" s="30">
        <v>1200</v>
      </c>
      <c r="G68" s="30">
        <v>5</v>
      </c>
      <c r="H68" s="34">
        <f>E68/F68/G68*项目看板!$C$38*项目看板!$E$38*项目看板!$G$38</f>
        <v>39706.4726533333</v>
      </c>
    </row>
    <row r="69" spans="1:8">
      <c r="A69">
        <v>2022</v>
      </c>
      <c r="B69" s="30">
        <v>12</v>
      </c>
      <c r="C69" t="s">
        <v>13</v>
      </c>
      <c r="D69" s="36">
        <v>66340.31</v>
      </c>
      <c r="E69" s="33">
        <v>182965.7</v>
      </c>
      <c r="F69" s="30">
        <v>1200</v>
      </c>
      <c r="G69" s="30">
        <v>5</v>
      </c>
      <c r="H69" s="34">
        <f>E69/F69/G69*项目看板!$C$38*项目看板!$E$38*项目看板!$G$38</f>
        <v>48546.8990666667</v>
      </c>
    </row>
    <row r="70" spans="1:8">
      <c r="A70">
        <v>2022</v>
      </c>
      <c r="B70">
        <v>1</v>
      </c>
      <c r="C70" t="s">
        <v>13</v>
      </c>
      <c r="D70" s="36">
        <v>27797.21</v>
      </c>
      <c r="E70" s="33">
        <v>88243.81</v>
      </c>
      <c r="F70" s="30">
        <v>1200</v>
      </c>
      <c r="G70" s="30">
        <v>5</v>
      </c>
      <c r="H70" s="34">
        <f>E70/F70/G70*项目看板!$C$38*项目看板!$E$38*项目看板!$G$38</f>
        <v>23414.0242533333</v>
      </c>
    </row>
    <row r="71" spans="1:8">
      <c r="A71">
        <v>2022</v>
      </c>
      <c r="B71">
        <v>2</v>
      </c>
      <c r="C71" t="s">
        <v>13</v>
      </c>
      <c r="D71" s="36">
        <v>37780.85</v>
      </c>
      <c r="E71" s="33">
        <v>116599.33</v>
      </c>
      <c r="F71" s="30">
        <v>1200</v>
      </c>
      <c r="G71" s="30">
        <v>5</v>
      </c>
      <c r="H71" s="34">
        <f>E71/F71/G71*项目看板!$C$38*项目看板!$E$38*项目看板!$G$38</f>
        <v>30937.6888933333</v>
      </c>
    </row>
    <row r="72" spans="1:8">
      <c r="A72">
        <v>2022</v>
      </c>
      <c r="B72">
        <v>3</v>
      </c>
      <c r="C72" t="s">
        <v>13</v>
      </c>
      <c r="D72" s="36">
        <v>47107.27</v>
      </c>
      <c r="E72" s="33">
        <v>134777.32</v>
      </c>
      <c r="F72" s="30">
        <v>1200</v>
      </c>
      <c r="G72" s="30">
        <v>5</v>
      </c>
      <c r="H72" s="34">
        <f>E72/F72/G72*项目看板!$C$38*项目看板!$E$38*项目看板!$G$38</f>
        <v>35760.9155733333</v>
      </c>
    </row>
    <row r="73" spans="1:8">
      <c r="A73">
        <v>2022</v>
      </c>
      <c r="B73">
        <v>4</v>
      </c>
      <c r="C73" t="s">
        <v>13</v>
      </c>
      <c r="D73" s="36">
        <v>50826.85</v>
      </c>
      <c r="E73" s="33">
        <v>158530.42</v>
      </c>
      <c r="F73" s="30">
        <v>1200</v>
      </c>
      <c r="G73" s="30">
        <v>5</v>
      </c>
      <c r="H73" s="34">
        <f>E73/F73/G73*项目看板!$C$38*项目看板!$E$38*项目看板!$G$38</f>
        <v>42063.4047733333</v>
      </c>
    </row>
    <row r="74" spans="1:8">
      <c r="A74">
        <v>2022</v>
      </c>
      <c r="B74">
        <v>1</v>
      </c>
      <c r="C74" t="s">
        <v>14</v>
      </c>
      <c r="D74" s="37">
        <v>68985</v>
      </c>
      <c r="E74" s="33">
        <v>233468</v>
      </c>
      <c r="F74" s="30">
        <v>205</v>
      </c>
      <c r="G74" s="30">
        <v>10</v>
      </c>
      <c r="H74" s="34">
        <f>E74/F74/G74*项目看板!$C$38*项目看板!$E$38*项目看板!$G$38</f>
        <v>181307.832195122</v>
      </c>
    </row>
    <row r="75" spans="1:8">
      <c r="A75">
        <v>2022</v>
      </c>
      <c r="B75">
        <v>2</v>
      </c>
      <c r="C75" t="s">
        <v>14</v>
      </c>
      <c r="D75" s="37">
        <v>78800</v>
      </c>
      <c r="E75" s="33">
        <v>227533</v>
      </c>
      <c r="F75" s="30">
        <v>205</v>
      </c>
      <c r="G75" s="30">
        <v>10</v>
      </c>
      <c r="H75" s="34">
        <f>E75/F75/G75*项目看板!$C$38*项目看板!$E$38*项目看板!$G$38</f>
        <v>176698.798048781</v>
      </c>
    </row>
    <row r="76" spans="1:8">
      <c r="A76">
        <v>2022</v>
      </c>
      <c r="B76">
        <v>3</v>
      </c>
      <c r="C76" t="s">
        <v>14</v>
      </c>
      <c r="D76" s="37">
        <v>66640</v>
      </c>
      <c r="E76" s="33">
        <v>205423</v>
      </c>
      <c r="F76" s="30">
        <v>205</v>
      </c>
      <c r="G76" s="30">
        <v>10</v>
      </c>
      <c r="H76" s="34">
        <f>E76/F76/G76*项目看板!$C$38*项目看板!$E$38*项目看板!$G$38</f>
        <v>159528.495609756</v>
      </c>
    </row>
    <row r="77" spans="1:8">
      <c r="A77">
        <v>2022</v>
      </c>
      <c r="B77">
        <v>4</v>
      </c>
      <c r="C77" t="s">
        <v>14</v>
      </c>
      <c r="D77" s="37">
        <v>65535</v>
      </c>
      <c r="E77" s="33">
        <v>203568</v>
      </c>
      <c r="F77" s="30">
        <v>205</v>
      </c>
      <c r="G77" s="30">
        <v>10</v>
      </c>
      <c r="H77" s="34">
        <f>E77/F77/G77*项目看板!$C$38*项目看板!$E$38*项目看板!$G$38</f>
        <v>158087.929756098</v>
      </c>
    </row>
    <row r="78" spans="1:8">
      <c r="A78">
        <v>2022</v>
      </c>
      <c r="B78">
        <v>5</v>
      </c>
      <c r="C78" t="s">
        <v>14</v>
      </c>
      <c r="D78" s="37">
        <v>76110</v>
      </c>
      <c r="E78" s="33">
        <v>239693</v>
      </c>
      <c r="F78" s="30">
        <v>205</v>
      </c>
      <c r="G78" s="30">
        <v>10</v>
      </c>
      <c r="H78" s="34">
        <f>E78/F78/G78*项目看板!$C$38*项目看板!$E$38*项目看板!$G$38</f>
        <v>186142.076097561</v>
      </c>
    </row>
    <row r="79" spans="1:8">
      <c r="A79">
        <v>2022</v>
      </c>
      <c r="B79">
        <v>6</v>
      </c>
      <c r="C79" t="s">
        <v>14</v>
      </c>
      <c r="D79" s="37">
        <v>105700</v>
      </c>
      <c r="E79" s="33">
        <v>261549</v>
      </c>
      <c r="F79" s="30">
        <v>205</v>
      </c>
      <c r="G79" s="30">
        <v>10</v>
      </c>
      <c r="H79" s="34">
        <f>E79/F79/G79*项目看板!$C$38*项目看板!$E$38*项目看板!$G$38</f>
        <v>203115.125853659</v>
      </c>
    </row>
    <row r="80" spans="1:8">
      <c r="A80">
        <v>2022</v>
      </c>
      <c r="B80">
        <v>7</v>
      </c>
      <c r="C80" t="s">
        <v>14</v>
      </c>
      <c r="D80" s="37">
        <v>69825.01</v>
      </c>
      <c r="E80" s="33">
        <v>246822.07</v>
      </c>
      <c r="F80" s="30">
        <v>205</v>
      </c>
      <c r="G80" s="30">
        <v>10</v>
      </c>
      <c r="H80" s="34">
        <f>E80/F80/G80*项目看板!$C$38*项目看板!$E$38*项目看板!$G$38</f>
        <v>191678.407531707</v>
      </c>
    </row>
    <row r="81" spans="1:8">
      <c r="A81">
        <v>2022</v>
      </c>
      <c r="B81">
        <v>8</v>
      </c>
      <c r="C81" t="s">
        <v>14</v>
      </c>
      <c r="D81" s="37">
        <v>86290</v>
      </c>
      <c r="E81" s="33">
        <v>344540.14</v>
      </c>
      <c r="F81" s="30">
        <v>205</v>
      </c>
      <c r="G81" s="30">
        <v>10</v>
      </c>
      <c r="H81" s="34">
        <f>E81/F81/G81*项目看板!$C$38*项目看板!$E$38*项目看板!$G$38</f>
        <v>267564.830673171</v>
      </c>
    </row>
    <row r="82" spans="1:8">
      <c r="A82">
        <v>2022</v>
      </c>
      <c r="B82">
        <v>9</v>
      </c>
      <c r="C82" t="s">
        <v>14</v>
      </c>
      <c r="D82" s="37">
        <v>94270</v>
      </c>
      <c r="E82" s="33">
        <v>265298.95</v>
      </c>
      <c r="F82" s="30">
        <v>205</v>
      </c>
      <c r="G82" s="30">
        <v>10</v>
      </c>
      <c r="H82" s="34">
        <f>E82/F82/G82*项目看板!$C$38*项目看板!$E$38*项目看板!$G$38</f>
        <v>206027.282146341</v>
      </c>
    </row>
    <row r="83" spans="1:8">
      <c r="A83">
        <v>2022</v>
      </c>
      <c r="B83">
        <v>10</v>
      </c>
      <c r="C83" t="s">
        <v>14</v>
      </c>
      <c r="D83" s="37">
        <v>74190</v>
      </c>
      <c r="E83" s="33">
        <v>244032.41</v>
      </c>
      <c r="F83" s="30">
        <v>205</v>
      </c>
      <c r="G83" s="30">
        <v>10</v>
      </c>
      <c r="H83" s="34">
        <f>E83/F83/G83*项目看板!$C$38*项目看板!$E$38*项目看板!$G$38</f>
        <v>189511.9984</v>
      </c>
    </row>
    <row r="84" spans="1:8">
      <c r="A84">
        <v>2022</v>
      </c>
      <c r="B84">
        <v>11</v>
      </c>
      <c r="C84" t="s">
        <v>14</v>
      </c>
      <c r="D84" s="37">
        <v>86220.01</v>
      </c>
      <c r="E84" s="33">
        <v>279601.8</v>
      </c>
      <c r="F84" s="30">
        <v>205</v>
      </c>
      <c r="G84" s="30">
        <v>10</v>
      </c>
      <c r="H84" s="34">
        <f>E84/F84/G84*项目看板!$C$38*项目看板!$E$38*项目看板!$G$38</f>
        <v>217134.666146341</v>
      </c>
    </row>
    <row r="85" spans="1:8">
      <c r="A85">
        <v>2022</v>
      </c>
      <c r="B85">
        <v>12</v>
      </c>
      <c r="C85" t="s">
        <v>14</v>
      </c>
      <c r="D85" s="37">
        <v>71315</v>
      </c>
      <c r="E85" s="33">
        <v>306187.38</v>
      </c>
      <c r="F85" s="30">
        <v>205</v>
      </c>
      <c r="G85" s="30">
        <v>10</v>
      </c>
      <c r="H85" s="34">
        <f>E85/F85/G85*项目看板!$C$38*项目看板!$E$38*项目看板!$G$38</f>
        <v>237780.638517073</v>
      </c>
    </row>
    <row r="86" spans="1:8">
      <c r="A86">
        <v>2022</v>
      </c>
      <c r="B86">
        <v>1</v>
      </c>
      <c r="C86" t="s">
        <v>15</v>
      </c>
      <c r="D86" s="37"/>
      <c r="E86" s="33">
        <v>1530926</v>
      </c>
      <c r="F86" s="30">
        <v>3800</v>
      </c>
      <c r="G86" s="30">
        <v>10</v>
      </c>
      <c r="H86" s="34">
        <f>E86/F86/G86*项目看板!$C$38*项目看板!$E$38*项目看板!$G$38</f>
        <v>64137.7418947368</v>
      </c>
    </row>
    <row r="87" spans="1:8">
      <c r="A87">
        <v>2022</v>
      </c>
      <c r="B87">
        <v>2</v>
      </c>
      <c r="C87" t="s">
        <v>15</v>
      </c>
      <c r="D87" s="37"/>
      <c r="E87" s="33">
        <v>1077724</v>
      </c>
      <c r="F87" s="30">
        <v>3800</v>
      </c>
      <c r="G87" s="30">
        <v>3</v>
      </c>
      <c r="H87" s="34">
        <f>E87/F87/G87*项目看板!$C$38*项目看板!$E$38*项目看板!$G$38</f>
        <v>150503.21122807</v>
      </c>
    </row>
    <row r="88" spans="1:8">
      <c r="A88">
        <v>2022</v>
      </c>
      <c r="B88">
        <v>3</v>
      </c>
      <c r="C88" t="s">
        <v>15</v>
      </c>
      <c r="D88" s="37"/>
      <c r="E88" s="33">
        <v>1488773</v>
      </c>
      <c r="F88" s="30">
        <v>3800</v>
      </c>
      <c r="G88" s="30">
        <v>3</v>
      </c>
      <c r="H88" s="34">
        <f>E88/F88/G88*项目看板!$C$38*项目看板!$E$38*项目看板!$G$38</f>
        <v>207905.843508772</v>
      </c>
    </row>
    <row r="89" spans="1:8">
      <c r="A89">
        <v>2022</v>
      </c>
      <c r="B89">
        <v>4</v>
      </c>
      <c r="C89" t="s">
        <v>15</v>
      </c>
      <c r="D89" s="37"/>
      <c r="E89" s="33">
        <v>1416774</v>
      </c>
      <c r="F89" s="30">
        <v>3800</v>
      </c>
      <c r="G89" s="30">
        <v>3</v>
      </c>
      <c r="H89" s="34">
        <f>E89/F89/G89*项目看板!$C$38*项目看板!$E$38*项目看板!$G$38</f>
        <v>197851.246315789</v>
      </c>
    </row>
    <row r="90" spans="1:8">
      <c r="A90">
        <v>2022</v>
      </c>
      <c r="B90">
        <v>5</v>
      </c>
      <c r="C90" t="s">
        <v>15</v>
      </c>
      <c r="D90" s="37"/>
      <c r="E90" s="33">
        <v>1764230</v>
      </c>
      <c r="F90" s="30">
        <v>3800</v>
      </c>
      <c r="G90" s="30">
        <v>3</v>
      </c>
      <c r="H90" s="34">
        <f>E90/F90/G90*项目看板!$C$38*项目看板!$E$38*项目看板!$G$38</f>
        <v>246373.171929825</v>
      </c>
    </row>
    <row r="91" spans="1:8">
      <c r="A91">
        <v>2022</v>
      </c>
      <c r="B91">
        <v>6</v>
      </c>
      <c r="C91" t="s">
        <v>15</v>
      </c>
      <c r="D91" s="37"/>
      <c r="E91" s="33">
        <v>1568701</v>
      </c>
      <c r="F91" s="30">
        <v>3800</v>
      </c>
      <c r="G91" s="30">
        <v>3</v>
      </c>
      <c r="H91" s="34">
        <f>E91/F91/G91*项目看板!$C$38*项目看板!$E$38*项目看板!$G$38</f>
        <v>219067.718596491</v>
      </c>
    </row>
    <row r="92" spans="1:8">
      <c r="A92">
        <v>2022</v>
      </c>
      <c r="B92">
        <v>7</v>
      </c>
      <c r="C92" t="s">
        <v>15</v>
      </c>
      <c r="D92" s="37"/>
      <c r="E92" s="33">
        <v>1565798</v>
      </c>
      <c r="F92" s="30">
        <v>3800</v>
      </c>
      <c r="G92" s="30">
        <v>3</v>
      </c>
      <c r="H92" s="34">
        <f>E92/F92/G92*项目看板!$C$38*项目看板!$E$38*项目看板!$G$38</f>
        <v>218662.317192982</v>
      </c>
    </row>
    <row r="93" spans="1:8">
      <c r="A93">
        <v>2022</v>
      </c>
      <c r="B93">
        <v>8</v>
      </c>
      <c r="C93" t="s">
        <v>15</v>
      </c>
      <c r="D93" s="37"/>
      <c r="E93" s="33">
        <v>1680725</v>
      </c>
      <c r="F93" s="30">
        <v>3800</v>
      </c>
      <c r="G93" s="30">
        <v>3</v>
      </c>
      <c r="H93" s="34">
        <f>E93/F93/G93*项目看板!$C$38*项目看板!$E$38*项目看板!$G$38</f>
        <v>234711.771929825</v>
      </c>
    </row>
    <row r="94" spans="1:8">
      <c r="A94">
        <v>2022</v>
      </c>
      <c r="B94">
        <v>9</v>
      </c>
      <c r="C94" t="s">
        <v>15</v>
      </c>
      <c r="D94" s="37"/>
      <c r="E94" s="33">
        <v>1478024</v>
      </c>
      <c r="F94" s="30">
        <v>3800</v>
      </c>
      <c r="G94" s="30">
        <v>3</v>
      </c>
      <c r="H94" s="34">
        <f>E94/F94/G94*项目看板!$C$38*项目看板!$E$38*项目看板!$G$38</f>
        <v>206404.755087719</v>
      </c>
    </row>
    <row r="95" spans="1:8">
      <c r="A95">
        <v>2022</v>
      </c>
      <c r="B95">
        <v>10</v>
      </c>
      <c r="C95" t="s">
        <v>15</v>
      </c>
      <c r="D95" s="37"/>
      <c r="E95" s="33">
        <v>1387069</v>
      </c>
      <c r="F95" s="30">
        <v>3800</v>
      </c>
      <c r="G95" s="30">
        <v>3</v>
      </c>
      <c r="H95" s="34">
        <f>E95/F95/G95*项目看板!$C$38*项目看板!$E$38*项目看板!$G$38</f>
        <v>193702.969122807</v>
      </c>
    </row>
    <row r="96" spans="1:8">
      <c r="A96">
        <v>2022</v>
      </c>
      <c r="B96">
        <v>11</v>
      </c>
      <c r="C96" t="s">
        <v>15</v>
      </c>
      <c r="D96" s="37"/>
      <c r="E96" s="33">
        <v>1628188</v>
      </c>
      <c r="F96" s="30">
        <v>3800</v>
      </c>
      <c r="G96" s="30">
        <v>3</v>
      </c>
      <c r="H96" s="34">
        <f>E96/F96/G96*项目看板!$C$38*项目看板!$E$38*项目看板!$G$38</f>
        <v>227375.025964912</v>
      </c>
    </row>
    <row r="97" spans="1:9">
      <c r="A97">
        <v>2022</v>
      </c>
      <c r="B97">
        <v>12</v>
      </c>
      <c r="C97" t="s">
        <v>15</v>
      </c>
      <c r="D97" s="37"/>
      <c r="E97" s="33">
        <v>1198605</v>
      </c>
      <c r="F97" s="30">
        <v>3800</v>
      </c>
      <c r="G97" s="30">
        <v>3</v>
      </c>
      <c r="H97" s="34">
        <f>E97/F97/G97*项目看板!$C$38*项目看板!$E$38*项目看板!$G$38</f>
        <v>167384.136842105</v>
      </c>
    </row>
    <row r="98" spans="1:9">
      <c r="A98">
        <v>2022</v>
      </c>
      <c r="B98">
        <v>1</v>
      </c>
      <c r="C98" t="s">
        <v>16</v>
      </c>
      <c r="D98" s="37"/>
      <c r="E98" s="33">
        <v>256954</v>
      </c>
      <c r="F98" s="30">
        <v>1120</v>
      </c>
      <c r="G98" s="30">
        <v>3</v>
      </c>
      <c r="H98" s="34">
        <f>E98/F98/G98*项目看板!$C$38*项目看板!$E$38*项目看板!$G$38</f>
        <v>121747.252380952</v>
      </c>
      <c r="I98" s="34"/>
    </row>
    <row r="99" spans="1:9">
      <c r="A99">
        <v>2022</v>
      </c>
      <c r="B99">
        <v>2</v>
      </c>
      <c r="C99" t="s">
        <v>16</v>
      </c>
      <c r="D99" s="37"/>
      <c r="E99" s="33">
        <v>145815</v>
      </c>
      <c r="F99" s="30">
        <v>1120</v>
      </c>
      <c r="G99" s="30">
        <v>3</v>
      </c>
      <c r="H99" s="34">
        <f>E99/F99/G99*项目看板!$C$38*项目看板!$E$38*项目看板!$G$38</f>
        <v>69088.5357142857</v>
      </c>
      <c r="I99" s="34"/>
    </row>
    <row r="100" spans="1:9">
      <c r="A100">
        <v>2022</v>
      </c>
      <c r="B100">
        <v>3</v>
      </c>
      <c r="C100" t="s">
        <v>16</v>
      </c>
      <c r="D100" s="37"/>
      <c r="E100" s="33">
        <v>168580</v>
      </c>
      <c r="F100" s="30">
        <v>1120</v>
      </c>
      <c r="G100" s="30">
        <v>3</v>
      </c>
      <c r="H100" s="34">
        <f>E100/F100/G100*项目看板!$C$38*项目看板!$E$38*项目看板!$G$38</f>
        <v>79874.8095238095</v>
      </c>
      <c r="I100" s="34"/>
    </row>
    <row r="101" spans="1:9">
      <c r="A101">
        <v>2022</v>
      </c>
      <c r="B101">
        <v>4</v>
      </c>
      <c r="C101" t="s">
        <v>16</v>
      </c>
      <c r="D101" s="37"/>
      <c r="E101" s="33">
        <v>164290</v>
      </c>
      <c r="F101" s="30">
        <v>1120</v>
      </c>
      <c r="G101" s="30">
        <v>3</v>
      </c>
      <c r="H101" s="34">
        <f>E101/F101/G101*项目看板!$C$38*项目看板!$E$38*项目看板!$G$38</f>
        <v>77842.1666666667</v>
      </c>
      <c r="I101" s="34"/>
    </row>
    <row r="102" spans="1:9">
      <c r="A102">
        <v>2022</v>
      </c>
      <c r="B102">
        <v>5</v>
      </c>
      <c r="C102" t="s">
        <v>16</v>
      </c>
      <c r="D102" s="37"/>
      <c r="E102" s="33">
        <v>213595</v>
      </c>
      <c r="F102" s="30">
        <v>1120</v>
      </c>
      <c r="G102" s="30">
        <v>3</v>
      </c>
      <c r="H102" s="34">
        <f>E102/F102/G102*项目看板!$C$38*项目看板!$E$38*项目看板!$G$38</f>
        <v>101203.345238095</v>
      </c>
      <c r="I102" s="34"/>
    </row>
    <row r="103" spans="1:9">
      <c r="A103">
        <v>2022</v>
      </c>
      <c r="B103">
        <v>6</v>
      </c>
      <c r="C103" t="s">
        <v>16</v>
      </c>
      <c r="D103" s="37"/>
      <c r="E103" s="33">
        <v>193294</v>
      </c>
      <c r="F103" s="30">
        <v>1120</v>
      </c>
      <c r="G103" s="30">
        <v>3</v>
      </c>
      <c r="H103" s="34">
        <f>E103/F103/G103*项目看板!$C$38*项目看板!$E$38*项目看板!$G$38</f>
        <v>91584.5380952381</v>
      </c>
      <c r="I103" s="34"/>
    </row>
    <row r="104" spans="1:9">
      <c r="A104">
        <v>2022</v>
      </c>
      <c r="B104">
        <v>7</v>
      </c>
      <c r="C104" t="s">
        <v>16</v>
      </c>
      <c r="D104" s="37"/>
      <c r="E104" s="33">
        <v>210065</v>
      </c>
      <c r="F104" s="30">
        <v>1120</v>
      </c>
      <c r="G104" s="30">
        <v>3</v>
      </c>
      <c r="H104" s="34">
        <f>E104/F104/G104*项目看板!$C$38*项目看板!$E$38*项目看板!$G$38</f>
        <v>99530.7976190476</v>
      </c>
      <c r="I104" s="34"/>
    </row>
    <row r="105" spans="1:9">
      <c r="A105">
        <v>2022</v>
      </c>
      <c r="B105">
        <v>8</v>
      </c>
      <c r="C105" t="s">
        <v>16</v>
      </c>
      <c r="D105" s="37"/>
      <c r="E105" s="33">
        <v>209742</v>
      </c>
      <c r="F105" s="30">
        <v>1120</v>
      </c>
      <c r="G105" s="30">
        <v>3</v>
      </c>
      <c r="H105" s="34">
        <f>E105/F105/G105*项目看板!$C$38*项目看板!$E$38*项目看板!$G$38</f>
        <v>99377.7571428571</v>
      </c>
      <c r="I105" s="34"/>
    </row>
    <row r="106" spans="1:9">
      <c r="A106">
        <v>2022</v>
      </c>
      <c r="B106">
        <v>9</v>
      </c>
      <c r="C106" t="s">
        <v>16</v>
      </c>
      <c r="D106" s="37"/>
      <c r="E106" s="33">
        <v>191597</v>
      </c>
      <c r="F106" s="30">
        <v>1120</v>
      </c>
      <c r="G106" s="30">
        <v>3</v>
      </c>
      <c r="H106" s="34">
        <f>E106/F106/G106*项目看板!$C$38*项目看板!$E$38*项目看板!$G$38</f>
        <v>90780.4833333333</v>
      </c>
      <c r="I106" s="34"/>
    </row>
    <row r="107" spans="1:9">
      <c r="A107">
        <v>2022</v>
      </c>
      <c r="B107">
        <v>10</v>
      </c>
      <c r="C107" t="s">
        <v>16</v>
      </c>
      <c r="D107" s="37"/>
      <c r="E107" s="33">
        <v>199461</v>
      </c>
      <c r="F107" s="30">
        <v>1120</v>
      </c>
      <c r="G107" s="30">
        <v>3</v>
      </c>
      <c r="H107" s="34">
        <f>E107/F107/G107*项目看板!$C$38*项目看板!$E$38*项目看板!$G$38</f>
        <v>94506.5214285714</v>
      </c>
      <c r="I107" s="34"/>
    </row>
    <row r="108" spans="1:9">
      <c r="A108">
        <v>2022</v>
      </c>
      <c r="B108">
        <v>11</v>
      </c>
      <c r="C108" t="s">
        <v>16</v>
      </c>
      <c r="D108" s="37"/>
      <c r="E108" s="33">
        <v>181774</v>
      </c>
      <c r="F108" s="30">
        <v>1120</v>
      </c>
      <c r="G108" s="30">
        <v>3</v>
      </c>
      <c r="H108" s="34">
        <f>E108/F108/G108*项目看板!$C$38*项目看板!$E$38*项目看板!$G$38</f>
        <v>86126.2523809524</v>
      </c>
      <c r="I108" s="34"/>
    </row>
    <row r="109" spans="1:9">
      <c r="A109">
        <v>2022</v>
      </c>
      <c r="B109">
        <v>12</v>
      </c>
      <c r="C109" t="s">
        <v>16</v>
      </c>
      <c r="D109" s="38"/>
      <c r="E109" s="33">
        <v>116184</v>
      </c>
      <c r="F109" s="30">
        <v>1120</v>
      </c>
      <c r="G109" s="30">
        <v>3</v>
      </c>
      <c r="H109" s="34">
        <f>E109/F109/G109*项目看板!$C$38*项目看板!$E$38*项目看板!$G$38</f>
        <v>55049.0857142857</v>
      </c>
      <c r="I109" s="34"/>
    </row>
    <row r="110" spans="1:9">
      <c r="A110">
        <v>2022</v>
      </c>
      <c r="B110">
        <v>1</v>
      </c>
      <c r="C110" t="s">
        <v>17</v>
      </c>
      <c r="D110" s="39">
        <v>127304.93</v>
      </c>
      <c r="E110" s="33">
        <v>127304.93</v>
      </c>
      <c r="F110" s="30">
        <v>166</v>
      </c>
      <c r="G110" s="30">
        <v>8</v>
      </c>
      <c r="H110" s="34">
        <f>E110/F110/G110*项目看板!$C$38*项目看板!$E$38*项目看板!$G$38</f>
        <v>152612.536566265</v>
      </c>
      <c r="I110" s="34">
        <f>SUM(H86:H97)</f>
        <v>2334079.90961403</v>
      </c>
    </row>
    <row r="111" spans="1:9">
      <c r="A111">
        <v>2022</v>
      </c>
      <c r="B111">
        <v>2</v>
      </c>
      <c r="C111" t="s">
        <v>17</v>
      </c>
      <c r="D111" s="37">
        <v>162111.54</v>
      </c>
      <c r="E111" s="33">
        <v>162111.54</v>
      </c>
      <c r="F111" s="30">
        <v>166</v>
      </c>
      <c r="G111" s="30">
        <v>8</v>
      </c>
      <c r="H111" s="34">
        <f>E111/F111/G111*项目看板!$C$38*项目看板!$E$38*项目看板!$G$38</f>
        <v>194338.532891566</v>
      </c>
    </row>
    <row r="112" spans="1:9">
      <c r="A112">
        <v>2022</v>
      </c>
      <c r="B112">
        <v>3</v>
      </c>
      <c r="C112" t="s">
        <v>17</v>
      </c>
      <c r="D112" s="37">
        <v>115922.97</v>
      </c>
      <c r="E112" s="33">
        <v>115922.97</v>
      </c>
      <c r="F112" s="30">
        <v>166</v>
      </c>
      <c r="G112" s="30">
        <v>8</v>
      </c>
      <c r="H112" s="34">
        <f>E112/F112/G112*项目看板!$C$38*项目看板!$E$38*项目看板!$G$38</f>
        <v>138967.897771084</v>
      </c>
    </row>
    <row r="113" spans="1:8">
      <c r="A113">
        <v>2022</v>
      </c>
      <c r="B113">
        <v>4</v>
      </c>
      <c r="C113" t="s">
        <v>17</v>
      </c>
      <c r="D113" s="37">
        <v>15001.96</v>
      </c>
      <c r="E113" s="33">
        <v>15001.96</v>
      </c>
      <c r="F113" s="30">
        <v>166</v>
      </c>
      <c r="G113" s="30">
        <v>8</v>
      </c>
      <c r="H113" s="34">
        <f>E113/F113/G113*项目看板!$C$38*项目看板!$E$38*项目看板!$G$38</f>
        <v>17984.2773493976</v>
      </c>
    </row>
    <row r="114" spans="1:8">
      <c r="A114">
        <v>2022</v>
      </c>
      <c r="B114">
        <v>5</v>
      </c>
      <c r="C114" t="s">
        <v>17</v>
      </c>
      <c r="D114" s="37">
        <v>8747</v>
      </c>
      <c r="E114" s="33">
        <v>8747</v>
      </c>
      <c r="F114" s="30">
        <v>166</v>
      </c>
      <c r="G114" s="30">
        <v>8</v>
      </c>
      <c r="H114" s="34">
        <f>E114/F114/G114*项目看板!$C$38*项目看板!$E$38*项目看板!$G$38</f>
        <v>10485.8614457831</v>
      </c>
    </row>
    <row r="115" spans="1:8">
      <c r="A115">
        <v>2022</v>
      </c>
      <c r="B115">
        <v>6</v>
      </c>
      <c r="C115" t="s">
        <v>17</v>
      </c>
      <c r="D115" s="37">
        <v>102623</v>
      </c>
      <c r="E115" s="33">
        <v>102623</v>
      </c>
      <c r="F115" s="30">
        <v>166</v>
      </c>
      <c r="G115" s="30">
        <v>8</v>
      </c>
      <c r="H115" s="34">
        <f>E115/F115/G115*项目看板!$C$38*项目看板!$E$38*项目看板!$G$38</f>
        <v>123023.957831325</v>
      </c>
    </row>
    <row r="116" spans="1:8">
      <c r="A116">
        <v>2022</v>
      </c>
      <c r="B116">
        <v>7</v>
      </c>
      <c r="C116" t="s">
        <v>17</v>
      </c>
      <c r="D116" s="37">
        <v>141328.8</v>
      </c>
      <c r="E116" s="33">
        <v>141328.8</v>
      </c>
      <c r="F116" s="30">
        <v>166</v>
      </c>
      <c r="G116" s="30">
        <v>8</v>
      </c>
      <c r="H116" s="34">
        <f>E116/F116/G116*项目看板!$C$38*项目看板!$E$38*项目看板!$G$38</f>
        <v>169424.284337349</v>
      </c>
    </row>
    <row r="117" spans="1:8">
      <c r="A117">
        <v>2022</v>
      </c>
      <c r="B117">
        <v>8</v>
      </c>
      <c r="C117" t="s">
        <v>17</v>
      </c>
      <c r="D117" s="37">
        <f>172299.92-13100</f>
        <v>159199.92</v>
      </c>
      <c r="E117" s="33">
        <v>161941.33</v>
      </c>
      <c r="F117" s="30">
        <v>166</v>
      </c>
      <c r="G117" s="30">
        <v>8</v>
      </c>
      <c r="H117" s="34">
        <f>E117/F117/G117*项目看板!$C$38*项目看板!$E$38*项目看板!$G$38</f>
        <v>194134.485963855</v>
      </c>
    </row>
    <row r="118" spans="1:8">
      <c r="A118">
        <v>2022</v>
      </c>
      <c r="B118">
        <v>9</v>
      </c>
      <c r="C118" t="s">
        <v>17</v>
      </c>
      <c r="D118" s="37">
        <f>123486.05-3600</f>
        <v>119886.05</v>
      </c>
      <c r="E118" s="33">
        <v>126184.95</v>
      </c>
      <c r="F118" s="30">
        <v>166</v>
      </c>
      <c r="G118" s="30">
        <v>8</v>
      </c>
      <c r="H118" s="34">
        <f>E118/F118/G118*项目看板!$C$38*项目看板!$E$38*项目看板!$G$38</f>
        <v>151269.909939759</v>
      </c>
    </row>
    <row r="119" spans="1:8">
      <c r="A119">
        <v>2022</v>
      </c>
      <c r="B119">
        <v>10</v>
      </c>
      <c r="C119" t="s">
        <v>17</v>
      </c>
      <c r="D119" s="37">
        <f>146864.02-22800</f>
        <v>124064.02</v>
      </c>
      <c r="E119" s="33">
        <v>124491.63</v>
      </c>
      <c r="F119" s="30">
        <v>166</v>
      </c>
      <c r="G119" s="30">
        <v>8</v>
      </c>
      <c r="H119" s="34">
        <f>E119/F119/G119*项目看板!$C$38*项目看板!$E$38*项目看板!$G$38</f>
        <v>149239.966084337</v>
      </c>
    </row>
    <row r="120" spans="1:8">
      <c r="A120">
        <v>2022</v>
      </c>
      <c r="B120">
        <v>11</v>
      </c>
      <c r="C120" t="s">
        <v>17</v>
      </c>
      <c r="D120" s="37">
        <v>119273.36</v>
      </c>
      <c r="E120" s="33">
        <v>123982.26</v>
      </c>
      <c r="F120" s="30">
        <v>166</v>
      </c>
      <c r="G120" s="30">
        <v>8</v>
      </c>
      <c r="H120" s="34">
        <f>E120/F120/G120*项目看板!$C$38*项目看板!$E$38*项目看板!$G$38</f>
        <v>148629.335783133</v>
      </c>
    </row>
    <row r="121" spans="1:8">
      <c r="A121">
        <v>2022</v>
      </c>
      <c r="B121">
        <v>12</v>
      </c>
      <c r="C121" t="s">
        <v>17</v>
      </c>
      <c r="D121" s="37">
        <f>53567.2-7200</f>
        <v>46367.2</v>
      </c>
      <c r="E121" s="33">
        <v>51687.26</v>
      </c>
      <c r="F121" s="30">
        <v>166</v>
      </c>
      <c r="G121" s="30">
        <v>8</v>
      </c>
      <c r="H121" s="34">
        <f>E121/F121/G121*项目看板!$C$38*项目看板!$E$38*项目看板!$G$38</f>
        <v>61962.4381927711</v>
      </c>
    </row>
    <row r="122" spans="1:8">
      <c r="A122">
        <v>2022</v>
      </c>
      <c r="B122">
        <v>1</v>
      </c>
      <c r="C122" t="s">
        <v>18</v>
      </c>
      <c r="D122" s="37">
        <v>27905</v>
      </c>
      <c r="E122" s="33">
        <v>61760.17</v>
      </c>
      <c r="F122" s="30">
        <v>104</v>
      </c>
      <c r="G122" s="30">
        <v>5</v>
      </c>
      <c r="H122" s="34">
        <f>E122/F122/G122*项目看板!$C$38*项目看板!$E$38*项目看板!$G$38</f>
        <v>189081.135846154</v>
      </c>
    </row>
    <row r="123" spans="1:8">
      <c r="A123">
        <v>2022</v>
      </c>
      <c r="B123">
        <v>2</v>
      </c>
      <c r="C123" t="s">
        <v>18</v>
      </c>
      <c r="D123" s="37">
        <v>27217</v>
      </c>
      <c r="E123" s="33">
        <v>73761.4</v>
      </c>
      <c r="F123" s="30">
        <v>104</v>
      </c>
      <c r="G123" s="30">
        <v>5</v>
      </c>
      <c r="H123" s="34">
        <f>E123/F123/G123*项目看板!$C$38*项目看板!$E$38*项目看板!$G$38</f>
        <v>225823.363076923</v>
      </c>
    </row>
    <row r="124" spans="1:8">
      <c r="A124">
        <v>2022</v>
      </c>
      <c r="B124">
        <v>3</v>
      </c>
      <c r="C124" t="s">
        <v>18</v>
      </c>
      <c r="D124" s="37">
        <v>24321.05</v>
      </c>
      <c r="E124" s="33">
        <v>70536.09</v>
      </c>
      <c r="F124" s="30">
        <v>104</v>
      </c>
      <c r="G124" s="30">
        <v>5</v>
      </c>
      <c r="H124" s="34">
        <f>E124/F124/G124*项目看板!$C$38*项目看板!$E$38*项目看板!$G$38</f>
        <v>215948.952461538</v>
      </c>
    </row>
    <row r="125" spans="1:8">
      <c r="A125">
        <v>2022</v>
      </c>
      <c r="B125">
        <v>4</v>
      </c>
      <c r="C125" t="s">
        <v>18</v>
      </c>
      <c r="D125" s="37">
        <f>34963.95-23769.56+22316</f>
        <v>33510.39</v>
      </c>
      <c r="E125" s="33">
        <v>68158.74</v>
      </c>
      <c r="F125" s="30">
        <v>104</v>
      </c>
      <c r="G125" s="30">
        <v>5</v>
      </c>
      <c r="H125" s="34">
        <f>E125/F125/G125*项目看板!$C$38*项目看板!$E$38*项目看板!$G$38</f>
        <v>208670.604</v>
      </c>
    </row>
    <row r="126" spans="1:8">
      <c r="A126">
        <v>2022</v>
      </c>
      <c r="B126">
        <v>5</v>
      </c>
      <c r="C126" t="s">
        <v>18</v>
      </c>
      <c r="D126" s="37">
        <f>31139-8559</f>
        <v>22580</v>
      </c>
      <c r="E126" s="33">
        <v>57778.35</v>
      </c>
      <c r="F126" s="30">
        <v>104</v>
      </c>
      <c r="G126" s="30">
        <v>5</v>
      </c>
      <c r="H126" s="34">
        <f>E126/F126/G126*项目看板!$C$38*项目看板!$E$38*项目看板!$G$38</f>
        <v>176890.640769231</v>
      </c>
    </row>
    <row r="127" spans="1:8">
      <c r="A127">
        <v>2022</v>
      </c>
      <c r="B127">
        <v>6</v>
      </c>
      <c r="C127" t="s">
        <v>18</v>
      </c>
      <c r="D127" s="37">
        <f>34801-480</f>
        <v>34321</v>
      </c>
      <c r="E127" s="33">
        <v>71719.35</v>
      </c>
      <c r="F127" s="30">
        <v>104</v>
      </c>
      <c r="G127" s="30">
        <v>5</v>
      </c>
      <c r="H127" s="34">
        <f>E127/F127/G127*项目看板!$C$38*项目看板!$E$38*项目看板!$G$38</f>
        <v>219571.548461538</v>
      </c>
    </row>
    <row r="128" spans="1:8">
      <c r="A128">
        <v>2022</v>
      </c>
      <c r="B128">
        <v>7</v>
      </c>
      <c r="C128" t="s">
        <v>18</v>
      </c>
      <c r="D128" s="37">
        <f>39273.1+2143.07+12.93</f>
        <v>41429.1</v>
      </c>
      <c r="E128" s="33">
        <v>58747.87</v>
      </c>
      <c r="F128" s="30">
        <v>104</v>
      </c>
      <c r="G128" s="30">
        <v>5</v>
      </c>
      <c r="H128" s="34">
        <f>E128/F128/G128*项目看板!$C$38*项目看板!$E$38*项目看板!$G$38</f>
        <v>179858.863538462</v>
      </c>
    </row>
    <row r="129" spans="1:8">
      <c r="A129">
        <v>2022</v>
      </c>
      <c r="B129">
        <v>8</v>
      </c>
      <c r="C129" t="s">
        <v>18</v>
      </c>
      <c r="D129" s="37">
        <f>29324-1650-18700+21968.97-2156+71.07</f>
        <v>28858.04</v>
      </c>
      <c r="E129" s="33">
        <v>61407.84</v>
      </c>
      <c r="F129" s="30">
        <v>104</v>
      </c>
      <c r="G129" s="30">
        <v>5</v>
      </c>
      <c r="H129" s="34">
        <f>E129/F129/G129*项目看板!$C$38*项目看板!$E$38*项目看板!$G$38</f>
        <v>188002.464</v>
      </c>
    </row>
    <row r="130" spans="1:8">
      <c r="A130">
        <v>2022</v>
      </c>
      <c r="B130">
        <v>9</v>
      </c>
      <c r="C130" t="s">
        <v>18</v>
      </c>
      <c r="D130" s="37">
        <f>37789.05-30245.05-1650+11228.42-375+36.58</f>
        <v>16784</v>
      </c>
      <c r="E130" s="33">
        <v>42529.54</v>
      </c>
      <c r="F130" s="30">
        <v>104</v>
      </c>
      <c r="G130" s="30">
        <v>5</v>
      </c>
      <c r="H130" s="34">
        <f>E130/F130/G130*项目看板!$C$38*项目看板!$E$38*项目看板!$G$38</f>
        <v>130205.822461538</v>
      </c>
    </row>
    <row r="131" spans="1:8">
      <c r="A131">
        <v>2022</v>
      </c>
      <c r="B131">
        <v>10</v>
      </c>
      <c r="C131" t="s">
        <v>18</v>
      </c>
      <c r="D131" s="37">
        <f>10480+524+15544.52+50.48</f>
        <v>26599</v>
      </c>
      <c r="E131" s="33">
        <v>62097.31</v>
      </c>
      <c r="F131" s="30">
        <v>104</v>
      </c>
      <c r="G131" s="30">
        <v>5</v>
      </c>
      <c r="H131" s="34">
        <f>E131/F131/G131*项目看板!$C$38*项目看板!$E$38*项目看板!$G$38</f>
        <v>190113.302923077</v>
      </c>
    </row>
    <row r="132" spans="1:8">
      <c r="A132">
        <v>2022</v>
      </c>
      <c r="B132">
        <v>11</v>
      </c>
      <c r="C132" t="s">
        <v>18</v>
      </c>
      <c r="D132" s="37">
        <f>4155.24+207.76+8985.57+29.43</f>
        <v>13378</v>
      </c>
      <c r="E132" s="33">
        <v>42240.81</v>
      </c>
      <c r="F132" s="30">
        <v>104</v>
      </c>
      <c r="G132" s="30">
        <v>5</v>
      </c>
      <c r="H132" s="34">
        <f>E132/F132/G132*项目看板!$C$38*项目看板!$E$38*项目看板!$G$38</f>
        <v>129321.864461538</v>
      </c>
    </row>
    <row r="133" spans="1:8">
      <c r="A133">
        <v>2022</v>
      </c>
      <c r="B133">
        <v>12</v>
      </c>
      <c r="C133" t="s">
        <v>18</v>
      </c>
      <c r="D133" s="37">
        <f>6443.81+322.19+8776.46+28.53</f>
        <v>15570.99</v>
      </c>
      <c r="E133" s="33">
        <v>89784.7</v>
      </c>
      <c r="F133" s="30">
        <v>104</v>
      </c>
      <c r="G133" s="30">
        <v>5</v>
      </c>
      <c r="H133" s="34">
        <f>E133/F133/G133*项目看板!$C$38*项目看板!$E$38*项目看板!$G$38</f>
        <v>274879.312307692</v>
      </c>
    </row>
    <row r="134" spans="1:8">
      <c r="A134">
        <v>2022</v>
      </c>
      <c r="B134">
        <v>1</v>
      </c>
      <c r="C134" t="s">
        <v>19</v>
      </c>
      <c r="D134" s="37">
        <v>8241</v>
      </c>
      <c r="E134" s="33">
        <v>9341</v>
      </c>
      <c r="F134" s="30">
        <v>53</v>
      </c>
      <c r="G134" s="30">
        <v>5</v>
      </c>
      <c r="H134" s="34">
        <f>E134/F134/G134*项目看板!$C$38*项目看板!$E$38*项目看板!$G$38</f>
        <v>56116.4981132075</v>
      </c>
    </row>
    <row r="135" spans="1:8">
      <c r="A135">
        <v>2022</v>
      </c>
      <c r="B135">
        <v>2</v>
      </c>
      <c r="C135" t="s">
        <v>19</v>
      </c>
      <c r="D135" s="37">
        <v>8180</v>
      </c>
      <c r="E135" s="33">
        <v>9280</v>
      </c>
      <c r="F135" s="30">
        <v>53</v>
      </c>
      <c r="G135" s="30">
        <v>5</v>
      </c>
      <c r="H135" s="34">
        <f>E135/F135/G135*项目看板!$C$38*项目看板!$E$38*项目看板!$G$38</f>
        <v>55750.0377358491</v>
      </c>
    </row>
    <row r="136" spans="1:8">
      <c r="A136">
        <v>2022</v>
      </c>
      <c r="B136">
        <v>3</v>
      </c>
      <c r="C136" t="s">
        <v>19</v>
      </c>
      <c r="D136" s="37">
        <v>7418</v>
      </c>
      <c r="E136" s="33">
        <v>8518</v>
      </c>
      <c r="F136" s="30">
        <v>53</v>
      </c>
      <c r="G136" s="30">
        <v>5</v>
      </c>
      <c r="H136" s="34">
        <f>E136/F136/G136*项目看板!$C$38*项目看板!$E$38*项目看板!$G$38</f>
        <v>51172.2867924528</v>
      </c>
    </row>
    <row r="137" spans="1:8">
      <c r="A137">
        <v>2022</v>
      </c>
      <c r="B137">
        <v>4</v>
      </c>
      <c r="C137" t="s">
        <v>19</v>
      </c>
      <c r="D137" s="37">
        <f>15926+9830</f>
        <v>25756</v>
      </c>
      <c r="E137" s="33">
        <v>29056</v>
      </c>
      <c r="F137" s="30">
        <v>53</v>
      </c>
      <c r="G137" s="30">
        <v>5</v>
      </c>
      <c r="H137" s="34">
        <f>E137/F137/G137*项目看板!$C$38*项目看板!$E$38*项目看板!$G$38</f>
        <v>174555.290566038</v>
      </c>
    </row>
    <row r="138" spans="1:8">
      <c r="A138">
        <v>2022</v>
      </c>
      <c r="B138">
        <v>5</v>
      </c>
      <c r="C138" t="s">
        <v>19</v>
      </c>
      <c r="D138" s="37">
        <v>13210</v>
      </c>
      <c r="E138" s="33">
        <v>14860</v>
      </c>
      <c r="F138" s="30">
        <v>53</v>
      </c>
      <c r="G138" s="30">
        <v>5</v>
      </c>
      <c r="H138" s="34">
        <f>E138/F138/G138*项目看板!$C$38*项目看板!$E$38*项目看板!$G$38</f>
        <v>89272.1509433962</v>
      </c>
    </row>
    <row r="139" spans="1:8">
      <c r="A139">
        <v>2022</v>
      </c>
      <c r="B139">
        <v>6</v>
      </c>
      <c r="C139" t="s">
        <v>19</v>
      </c>
      <c r="D139" s="37">
        <v>12270</v>
      </c>
      <c r="E139" s="33">
        <v>13920</v>
      </c>
      <c r="F139" s="30">
        <v>53</v>
      </c>
      <c r="G139" s="30">
        <v>5</v>
      </c>
      <c r="H139" s="34">
        <f>E139/F139/G139*项目看板!$C$38*项目看板!$E$38*项目看板!$G$38</f>
        <v>83625.0566037736</v>
      </c>
    </row>
    <row r="140" spans="1:8">
      <c r="A140">
        <v>2022</v>
      </c>
      <c r="B140">
        <v>7</v>
      </c>
      <c r="C140" t="s">
        <v>19</v>
      </c>
      <c r="D140" s="37">
        <v>11235</v>
      </c>
      <c r="E140" s="33">
        <v>12264.03</v>
      </c>
      <c r="F140" s="30">
        <v>53</v>
      </c>
      <c r="G140" s="30">
        <v>5</v>
      </c>
      <c r="H140" s="34">
        <f>E140/F140/G140*项目看板!$C$38*项目看板!$E$38*项目看板!$G$38</f>
        <v>73676.7387169811</v>
      </c>
    </row>
    <row r="141" spans="1:8">
      <c r="A141">
        <v>2022</v>
      </c>
      <c r="B141">
        <v>8</v>
      </c>
      <c r="C141" t="s">
        <v>19</v>
      </c>
      <c r="D141" s="37">
        <f>13626.41+43.59</f>
        <v>13670</v>
      </c>
      <c r="E141" s="33">
        <v>15650.01</v>
      </c>
      <c r="F141" s="30">
        <v>53</v>
      </c>
      <c r="G141" s="30">
        <v>5</v>
      </c>
      <c r="H141" s="34">
        <f>E141/F141/G141*项目看板!$C$38*项目看板!$E$38*项目看板!$G$38</f>
        <v>94018.1732830189</v>
      </c>
    </row>
    <row r="142" spans="1:8">
      <c r="A142">
        <v>2022</v>
      </c>
      <c r="B142">
        <v>9</v>
      </c>
      <c r="C142" t="s">
        <v>19</v>
      </c>
      <c r="D142" s="37">
        <f>7216.74+23.26</f>
        <v>7240</v>
      </c>
      <c r="E142" s="33">
        <v>8759.29</v>
      </c>
      <c r="F142" s="30">
        <v>53</v>
      </c>
      <c r="G142" s="30">
        <v>5</v>
      </c>
      <c r="H142" s="34">
        <f>E142/F142/G142*项目看板!$C$38*项目看板!$E$38*项目看板!$G$38</f>
        <v>52621.8478490566</v>
      </c>
    </row>
    <row r="143" spans="1:8">
      <c r="A143">
        <v>2022</v>
      </c>
      <c r="B143">
        <v>10</v>
      </c>
      <c r="C143" t="s">
        <v>19</v>
      </c>
      <c r="D143" s="37">
        <f>5492.31+17.69</f>
        <v>5510</v>
      </c>
      <c r="E143" s="33">
        <v>6940</v>
      </c>
      <c r="F143" s="30">
        <v>53</v>
      </c>
      <c r="G143" s="30">
        <v>5</v>
      </c>
      <c r="H143" s="34">
        <f>E143/F143/G143*项目看板!$C$38*项目看板!$E$38*项目看板!$G$38</f>
        <v>41692.3773584906</v>
      </c>
    </row>
    <row r="144" spans="1:8">
      <c r="A144">
        <v>2022</v>
      </c>
      <c r="B144">
        <v>11</v>
      </c>
      <c r="C144" t="s">
        <v>19</v>
      </c>
      <c r="D144" s="37">
        <f>5656.78+18.22</f>
        <v>5675</v>
      </c>
      <c r="E144" s="33">
        <v>6206.67</v>
      </c>
      <c r="F144" s="30">
        <v>53</v>
      </c>
      <c r="G144" s="30">
        <v>5</v>
      </c>
      <c r="H144" s="34">
        <f>E144/F144/G144*项目看板!$C$38*项目看板!$E$38*项目看板!$G$38</f>
        <v>37286.8627924528</v>
      </c>
    </row>
    <row r="145" spans="1:8">
      <c r="A145">
        <v>2022</v>
      </c>
      <c r="B145">
        <v>12</v>
      </c>
      <c r="C145" t="s">
        <v>19</v>
      </c>
      <c r="D145" s="37">
        <f>4535.44+14.56</f>
        <v>4550</v>
      </c>
      <c r="E145" s="33">
        <v>4961.61</v>
      </c>
      <c r="F145" s="30">
        <v>53</v>
      </c>
      <c r="G145" s="30">
        <v>5</v>
      </c>
      <c r="H145" s="34">
        <f>E145/F145/G145*项目看板!$C$38*项目看板!$E$38*项目看板!$G$38</f>
        <v>29807.1061132075</v>
      </c>
    </row>
    <row r="146" spans="1:8">
      <c r="A146">
        <v>2022</v>
      </c>
      <c r="B146">
        <v>1</v>
      </c>
      <c r="C146" t="s">
        <v>20</v>
      </c>
      <c r="E146">
        <v>27011.95</v>
      </c>
      <c r="F146" s="30">
        <v>190</v>
      </c>
      <c r="G146" s="30">
        <v>5</v>
      </c>
      <c r="H146" s="34">
        <f>E146/F146/G146*项目看板!$C$38*项目看板!$E$38*项目看板!$G$38</f>
        <v>45266.3414736842</v>
      </c>
    </row>
    <row r="147" spans="1:8">
      <c r="A147">
        <v>2022</v>
      </c>
      <c r="B147">
        <v>2</v>
      </c>
      <c r="C147" t="s">
        <v>20</v>
      </c>
      <c r="E147">
        <v>47269.67</v>
      </c>
      <c r="F147" s="30">
        <v>190</v>
      </c>
      <c r="G147" s="30">
        <v>5</v>
      </c>
      <c r="H147" s="34">
        <f>E147/F147/G147*项目看板!$C$38*项目看板!$E$38*项目看板!$G$38</f>
        <v>79214.0154105263</v>
      </c>
    </row>
    <row r="148" spans="1:8">
      <c r="A148">
        <v>2022</v>
      </c>
      <c r="B148">
        <v>3</v>
      </c>
      <c r="C148" t="s">
        <v>20</v>
      </c>
      <c r="E148">
        <v>38726.24</v>
      </c>
      <c r="F148" s="30">
        <v>190</v>
      </c>
      <c r="G148" s="30">
        <v>5</v>
      </c>
      <c r="H148" s="34">
        <f>E148/F148/G148*项目看板!$C$38*项目看板!$E$38*项目看板!$G$38</f>
        <v>64897.0253473684</v>
      </c>
    </row>
    <row r="149" spans="1:8">
      <c r="A149">
        <v>2022</v>
      </c>
      <c r="B149">
        <v>4</v>
      </c>
      <c r="C149" t="s">
        <v>20</v>
      </c>
      <c r="E149">
        <v>27981.1</v>
      </c>
      <c r="F149" s="30">
        <v>190</v>
      </c>
      <c r="G149" s="30">
        <v>5</v>
      </c>
      <c r="H149" s="34">
        <f>E149/F149/G149*项目看板!$C$38*项目看板!$E$38*项目看板!$G$38</f>
        <v>46890.4328421053</v>
      </c>
    </row>
    <row r="150" spans="1:8">
      <c r="A150">
        <v>2022</v>
      </c>
      <c r="B150">
        <v>5</v>
      </c>
      <c r="C150" t="s">
        <v>20</v>
      </c>
      <c r="E150">
        <v>35965.93</v>
      </c>
      <c r="F150" s="30">
        <v>190</v>
      </c>
      <c r="G150" s="30">
        <v>5</v>
      </c>
      <c r="H150" s="34">
        <f>E150/F150/G150*项目看板!$C$38*项目看板!$E$38*项目看板!$G$38</f>
        <v>60271.3269052632</v>
      </c>
    </row>
    <row r="151" spans="1:8">
      <c r="A151">
        <v>2022</v>
      </c>
      <c r="B151">
        <v>6</v>
      </c>
      <c r="C151" t="s">
        <v>20</v>
      </c>
      <c r="E151">
        <v>36396</v>
      </c>
      <c r="F151" s="30">
        <v>190</v>
      </c>
      <c r="G151" s="30">
        <v>5</v>
      </c>
      <c r="H151" s="34">
        <f>E151/F151/G151*项目看板!$C$38*项目看板!$E$38*项目看板!$G$38</f>
        <v>60992.0336842105</v>
      </c>
    </row>
    <row r="152" spans="1:8">
      <c r="A152">
        <v>2022</v>
      </c>
      <c r="B152">
        <v>7</v>
      </c>
      <c r="C152" t="s">
        <v>20</v>
      </c>
      <c r="E152">
        <v>31808.49</v>
      </c>
      <c r="F152" s="30">
        <v>190</v>
      </c>
      <c r="G152" s="30">
        <v>5</v>
      </c>
      <c r="H152" s="34">
        <f>E152/F152/G152*项目看板!$C$38*项目看板!$E$38*项目看板!$G$38</f>
        <v>53304.3327157895</v>
      </c>
    </row>
    <row r="153" spans="1:8">
      <c r="A153">
        <v>2022</v>
      </c>
      <c r="B153">
        <v>8</v>
      </c>
      <c r="C153" t="s">
        <v>20</v>
      </c>
      <c r="E153">
        <v>30712.7</v>
      </c>
      <c r="F153" s="30">
        <v>190</v>
      </c>
      <c r="G153" s="30">
        <v>5</v>
      </c>
      <c r="H153" s="34">
        <f>E153/F153/G153*项目看板!$C$38*项目看板!$E$38*项目看板!$G$38</f>
        <v>51468.019368421</v>
      </c>
    </row>
    <row r="154" spans="1:8">
      <c r="A154">
        <v>2022</v>
      </c>
      <c r="B154">
        <v>9</v>
      </c>
      <c r="C154" t="s">
        <v>20</v>
      </c>
      <c r="E154">
        <v>33409.86</v>
      </c>
      <c r="F154" s="30">
        <v>190</v>
      </c>
      <c r="G154" s="30">
        <v>5</v>
      </c>
      <c r="H154" s="34">
        <f>E154/F154/G154*项目看板!$C$38*项目看板!$E$38*项目看板!$G$38</f>
        <v>55987.8917052632</v>
      </c>
    </row>
    <row r="155" spans="1:8">
      <c r="A155">
        <v>2022</v>
      </c>
      <c r="B155">
        <v>10</v>
      </c>
      <c r="C155" t="s">
        <v>20</v>
      </c>
      <c r="E155">
        <v>33987.74</v>
      </c>
      <c r="F155" s="30">
        <v>190</v>
      </c>
      <c r="G155" s="30">
        <v>5</v>
      </c>
      <c r="H155" s="34">
        <f>E155/F155/G155*项目看板!$C$38*项目看板!$E$38*项目看板!$G$38</f>
        <v>56956.2969263158</v>
      </c>
    </row>
    <row r="156" spans="1:8">
      <c r="A156">
        <v>2022</v>
      </c>
      <c r="B156">
        <v>11</v>
      </c>
      <c r="C156" t="s">
        <v>20</v>
      </c>
      <c r="E156">
        <v>42640.43</v>
      </c>
      <c r="F156" s="30">
        <v>190</v>
      </c>
      <c r="G156" s="30">
        <v>5</v>
      </c>
      <c r="H156" s="34">
        <f>E156/F156/G156*项目看板!$C$38*项目看板!$E$38*项目看板!$G$38</f>
        <v>71456.3837473684</v>
      </c>
    </row>
    <row r="157" spans="1:8">
      <c r="A157">
        <v>2022</v>
      </c>
      <c r="B157">
        <v>12</v>
      </c>
      <c r="C157" t="s">
        <v>20</v>
      </c>
      <c r="E157">
        <v>46433.93</v>
      </c>
      <c r="F157" s="30">
        <v>190</v>
      </c>
      <c r="G157" s="30">
        <v>5</v>
      </c>
      <c r="H157" s="34">
        <f>E157/F157/G157*项目看板!$C$38*项目看板!$E$38*项目看板!$G$38</f>
        <v>77813.4911157895</v>
      </c>
    </row>
    <row r="158" spans="1:8">
      <c r="A158">
        <v>2022</v>
      </c>
      <c r="B158">
        <v>1</v>
      </c>
      <c r="C158" t="s">
        <v>21</v>
      </c>
      <c r="E158">
        <v>179140</v>
      </c>
      <c r="F158">
        <v>300</v>
      </c>
      <c r="G158" s="30">
        <v>5</v>
      </c>
      <c r="H158" s="34">
        <f>E158/F158/G158*项目看板!$C$38*项目看板!$E$38*项目看板!$G$38</f>
        <v>190127.253333333</v>
      </c>
    </row>
    <row r="159" spans="1:8">
      <c r="A159">
        <v>2022</v>
      </c>
      <c r="B159">
        <v>2</v>
      </c>
      <c r="C159" t="s">
        <v>21</v>
      </c>
      <c r="E159">
        <v>251310</v>
      </c>
      <c r="F159">
        <v>300</v>
      </c>
      <c r="G159" s="30">
        <v>5</v>
      </c>
      <c r="H159" s="34">
        <f>E159/F159/G159*项目看板!$C$38*项目看板!$E$38*项目看板!$G$38</f>
        <v>266723.68</v>
      </c>
    </row>
    <row r="160" spans="1:8">
      <c r="A160">
        <v>2022</v>
      </c>
      <c r="B160">
        <v>3</v>
      </c>
      <c r="C160" t="s">
        <v>21</v>
      </c>
      <c r="E160">
        <v>219200</v>
      </c>
      <c r="F160">
        <v>300</v>
      </c>
      <c r="G160" s="30">
        <v>5</v>
      </c>
      <c r="H160" s="34">
        <f>E160/F160/G160*项目看板!$C$38*项目看板!$E$38*项目看板!$G$38</f>
        <v>232644.266666667</v>
      </c>
    </row>
    <row r="161" spans="1:8">
      <c r="A161">
        <v>2022</v>
      </c>
      <c r="B161">
        <v>4</v>
      </c>
      <c r="C161" t="s">
        <v>21</v>
      </c>
      <c r="E161">
        <v>214675</v>
      </c>
      <c r="F161">
        <v>300</v>
      </c>
      <c r="G161" s="30">
        <v>5</v>
      </c>
      <c r="H161" s="34">
        <f>E161/F161/G161*项目看板!$C$38*项目看板!$E$38*项目看板!$G$38</f>
        <v>227841.733333333</v>
      </c>
    </row>
    <row r="162" spans="1:8">
      <c r="A162">
        <v>2022</v>
      </c>
      <c r="B162">
        <v>5</v>
      </c>
      <c r="C162" t="s">
        <v>21</v>
      </c>
      <c r="E162">
        <v>220880</v>
      </c>
      <c r="F162">
        <v>300</v>
      </c>
      <c r="G162" s="30">
        <v>5</v>
      </c>
      <c r="H162" s="34">
        <f>E162/F162/G162*项目看板!$C$38*项目看板!$E$38*项目看板!$G$38</f>
        <v>234427.306666667</v>
      </c>
    </row>
    <row r="163" spans="1:8">
      <c r="A163">
        <v>2022</v>
      </c>
      <c r="B163">
        <v>6</v>
      </c>
      <c r="C163" t="s">
        <v>21</v>
      </c>
      <c r="E163">
        <v>279001</v>
      </c>
      <c r="F163">
        <v>300</v>
      </c>
      <c r="G163" s="30">
        <v>5</v>
      </c>
      <c r="H163" s="34">
        <f>E163/F163/G163*项目看板!$C$38*项目看板!$E$38*项目看板!$G$38</f>
        <v>296113.061333333</v>
      </c>
    </row>
    <row r="164" spans="1:8">
      <c r="A164">
        <v>2022</v>
      </c>
      <c r="B164">
        <v>7</v>
      </c>
      <c r="C164" t="s">
        <v>21</v>
      </c>
      <c r="E164">
        <v>180739.88</v>
      </c>
      <c r="F164">
        <v>300</v>
      </c>
      <c r="G164" s="30">
        <v>5</v>
      </c>
      <c r="H164" s="34">
        <f>E164/F164/G164*项目看板!$C$38*项目看板!$E$38*项目看板!$G$38</f>
        <v>191825.259306667</v>
      </c>
    </row>
    <row r="165" spans="1:8">
      <c r="A165">
        <v>2022</v>
      </c>
      <c r="B165">
        <v>8</v>
      </c>
      <c r="C165" t="s">
        <v>21</v>
      </c>
      <c r="E165">
        <v>256468.54</v>
      </c>
      <c r="F165">
        <v>300</v>
      </c>
      <c r="G165" s="30">
        <v>5</v>
      </c>
      <c r="H165" s="34">
        <f>E165/F165/G165*项目看板!$C$38*项目看板!$E$38*项目看板!$G$38</f>
        <v>272198.610453333</v>
      </c>
    </row>
    <row r="166" spans="1:8">
      <c r="A166">
        <v>2022</v>
      </c>
      <c r="B166">
        <v>9</v>
      </c>
      <c r="C166" t="s">
        <v>21</v>
      </c>
      <c r="E166">
        <v>220335.96</v>
      </c>
      <c r="F166">
        <v>300</v>
      </c>
      <c r="G166" s="30">
        <v>5</v>
      </c>
      <c r="H166" s="34">
        <f>E166/F166/G166*项目看板!$C$38*项目看板!$E$38*项目看板!$G$38</f>
        <v>233849.89888</v>
      </c>
    </row>
    <row r="167" spans="1:8">
      <c r="A167">
        <v>2022</v>
      </c>
      <c r="B167">
        <v>10</v>
      </c>
      <c r="C167" t="s">
        <v>21</v>
      </c>
      <c r="E167">
        <v>190223.27</v>
      </c>
      <c r="F167">
        <v>300</v>
      </c>
      <c r="G167" s="30">
        <v>5</v>
      </c>
      <c r="H167" s="34">
        <f>E167/F167/G167*项目看板!$C$38*项目看板!$E$38*项目看板!$G$38</f>
        <v>201890.297226667</v>
      </c>
    </row>
    <row r="168" spans="1:8">
      <c r="A168">
        <v>2022</v>
      </c>
      <c r="B168">
        <v>11</v>
      </c>
      <c r="C168" t="s">
        <v>21</v>
      </c>
      <c r="E168">
        <v>211804.99</v>
      </c>
      <c r="F168">
        <v>300</v>
      </c>
      <c r="G168" s="30">
        <v>5</v>
      </c>
      <c r="H168" s="34">
        <f>E168/F168/G168*项目看板!$C$38*项目看板!$E$38*项目看板!$G$38</f>
        <v>224795.696053333</v>
      </c>
    </row>
    <row r="169" spans="1:8">
      <c r="A169">
        <v>2022</v>
      </c>
      <c r="B169">
        <v>12</v>
      </c>
      <c r="C169" t="s">
        <v>21</v>
      </c>
      <c r="E169">
        <v>177616.53</v>
      </c>
      <c r="F169">
        <v>300</v>
      </c>
      <c r="G169" s="30">
        <v>5</v>
      </c>
      <c r="H169" s="34">
        <f>E169/F169/G169*项目看板!$C$38*项目看板!$E$38*项目看板!$G$38</f>
        <v>188510.34384</v>
      </c>
    </row>
    <row r="170" spans="1:8">
      <c r="A170">
        <v>2022</v>
      </c>
      <c r="B170">
        <v>1</v>
      </c>
      <c r="C170" t="s">
        <v>22</v>
      </c>
      <c r="E170">
        <v>188485</v>
      </c>
      <c r="F170">
        <v>1700</v>
      </c>
      <c r="G170">
        <v>5</v>
      </c>
      <c r="H170" s="34">
        <f>E170/F170/G170*项目看板!$C$38*项目看板!$E$38*项目看板!$G$38</f>
        <v>35302.1317647059</v>
      </c>
    </row>
    <row r="171" spans="1:8">
      <c r="A171">
        <v>2021</v>
      </c>
      <c r="B171">
        <v>2</v>
      </c>
      <c r="C171" t="s">
        <v>22</v>
      </c>
      <c r="E171">
        <v>290125</v>
      </c>
      <c r="F171">
        <v>1700</v>
      </c>
      <c r="G171">
        <v>5</v>
      </c>
      <c r="H171" s="34">
        <f>E171/F171/G171*项目看板!$C$38*项目看板!$E$38*项目看板!$G$38</f>
        <v>54338.7058823529</v>
      </c>
    </row>
    <row r="172" spans="1:8">
      <c r="A172">
        <v>2021</v>
      </c>
      <c r="B172">
        <v>3</v>
      </c>
      <c r="C172" t="s">
        <v>22</v>
      </c>
      <c r="E172">
        <v>230560</v>
      </c>
      <c r="F172">
        <v>1700</v>
      </c>
      <c r="G172">
        <v>5</v>
      </c>
      <c r="H172" s="34">
        <f>E172/F172/G172*项目看板!$C$38*项目看板!$E$38*项目看板!$G$38</f>
        <v>43182.5317647059</v>
      </c>
    </row>
    <row r="173" spans="1:8">
      <c r="A173">
        <v>2021</v>
      </c>
      <c r="B173">
        <v>4</v>
      </c>
      <c r="C173" t="s">
        <v>22</v>
      </c>
      <c r="E173">
        <v>199669</v>
      </c>
      <c r="F173">
        <v>1700</v>
      </c>
      <c r="G173">
        <v>5</v>
      </c>
      <c r="H173" s="34">
        <f>E173/F173/G173*项目看板!$C$38*项目看板!$E$38*项目看板!$G$38</f>
        <v>37396.8291764706</v>
      </c>
    </row>
    <row r="174" spans="1:8">
      <c r="A174">
        <v>2021</v>
      </c>
      <c r="B174">
        <v>5</v>
      </c>
      <c r="C174" t="s">
        <v>22</v>
      </c>
      <c r="E174">
        <v>208645</v>
      </c>
      <c r="F174">
        <v>1700</v>
      </c>
      <c r="G174">
        <v>5</v>
      </c>
      <c r="H174" s="34">
        <f>E174/F174/G174*项目看板!$C$38*项目看板!$E$38*项目看板!$G$38</f>
        <v>39077.9811764706</v>
      </c>
    </row>
    <row r="175" spans="1:8">
      <c r="A175">
        <v>2021</v>
      </c>
      <c r="B175">
        <v>6</v>
      </c>
      <c r="C175" t="s">
        <v>22</v>
      </c>
      <c r="E175">
        <v>231095.17</v>
      </c>
      <c r="F175">
        <v>1700</v>
      </c>
      <c r="G175">
        <v>5</v>
      </c>
      <c r="H175" s="34">
        <f>E175/F175/G175*项目看板!$C$38*项目看板!$E$38*项目看板!$G$38</f>
        <v>43282.7659576471</v>
      </c>
    </row>
    <row r="176" spans="1:8">
      <c r="A176">
        <v>2021</v>
      </c>
      <c r="B176">
        <v>7</v>
      </c>
      <c r="C176" t="s">
        <v>22</v>
      </c>
      <c r="E176">
        <v>195170.22</v>
      </c>
      <c r="F176">
        <v>1700</v>
      </c>
      <c r="G176">
        <v>5</v>
      </c>
      <c r="H176" s="34">
        <f>E176/F176/G176*项目看板!$C$38*项目看板!$E$38*项目看板!$G$38</f>
        <v>36554.2341458824</v>
      </c>
    </row>
    <row r="177" spans="1:8">
      <c r="A177">
        <v>2021</v>
      </c>
      <c r="B177">
        <v>8</v>
      </c>
      <c r="C177" t="s">
        <v>22</v>
      </c>
      <c r="E177">
        <v>227700.01</v>
      </c>
      <c r="F177">
        <v>1700</v>
      </c>
      <c r="G177">
        <v>5</v>
      </c>
      <c r="H177" s="34">
        <f>E177/F177/G177*项目看板!$C$38*项目看板!$E$38*项目看板!$G$38</f>
        <v>42646.8724611765</v>
      </c>
    </row>
    <row r="178" spans="1:8">
      <c r="A178">
        <v>2021</v>
      </c>
      <c r="B178">
        <v>9</v>
      </c>
      <c r="C178" t="s">
        <v>22</v>
      </c>
      <c r="E178">
        <v>202876</v>
      </c>
      <c r="F178">
        <v>1700</v>
      </c>
      <c r="G178">
        <v>5</v>
      </c>
      <c r="H178" s="34">
        <f>E178/F178/G178*项目看板!$C$38*项目看板!$E$38*项目看板!$G$38</f>
        <v>37997.4814117647</v>
      </c>
    </row>
    <row r="179" spans="1:8">
      <c r="A179">
        <v>2021</v>
      </c>
      <c r="B179">
        <v>10</v>
      </c>
      <c r="C179" t="s">
        <v>22</v>
      </c>
      <c r="E179">
        <v>300885</v>
      </c>
      <c r="F179">
        <v>1700</v>
      </c>
      <c r="G179">
        <v>5</v>
      </c>
      <c r="H179" s="34">
        <f>E179/F179/G179*项目看板!$C$38*项目看板!$E$38*项目看板!$G$38</f>
        <v>56353.9905882353</v>
      </c>
    </row>
    <row r="180" spans="1:8">
      <c r="A180">
        <v>2021</v>
      </c>
      <c r="B180">
        <v>11</v>
      </c>
      <c r="C180" t="s">
        <v>22</v>
      </c>
      <c r="E180">
        <v>206780</v>
      </c>
      <c r="F180">
        <v>1700</v>
      </c>
      <c r="G180">
        <v>5</v>
      </c>
      <c r="H180" s="34">
        <f>E180/F180/G180*项目看板!$C$38*项目看板!$E$38*项目看板!$G$38</f>
        <v>38728.6776470588</v>
      </c>
    </row>
    <row r="181" spans="1:8">
      <c r="A181">
        <v>2021</v>
      </c>
      <c r="B181">
        <v>12</v>
      </c>
      <c r="C181" t="s">
        <v>22</v>
      </c>
      <c r="E181">
        <v>186470</v>
      </c>
      <c r="F181">
        <v>1700</v>
      </c>
      <c r="G181">
        <v>5</v>
      </c>
      <c r="H181" s="34">
        <f>E181/F181/G181*项目看板!$C$38*项目看板!$E$38*项目看板!$G$38</f>
        <v>34924.7341176471</v>
      </c>
    </row>
    <row r="182" spans="1:8">
      <c r="A182">
        <v>2022</v>
      </c>
      <c r="B182">
        <v>1</v>
      </c>
      <c r="C182" t="s">
        <v>23</v>
      </c>
      <c r="E182">
        <v>474379.47</v>
      </c>
      <c r="F182">
        <v>160</v>
      </c>
      <c r="G182">
        <v>15</v>
      </c>
      <c r="H182" s="34">
        <f>E182/F182/G182*项目看板!$C$38*项目看板!$E$38*项目看板!$G$38</f>
        <v>314671.7151</v>
      </c>
    </row>
    <row r="183" spans="1:8">
      <c r="A183">
        <v>2022</v>
      </c>
      <c r="B183">
        <v>2</v>
      </c>
      <c r="C183" t="s">
        <v>23</v>
      </c>
      <c r="E183">
        <v>643620.01</v>
      </c>
      <c r="F183">
        <v>160</v>
      </c>
      <c r="G183">
        <v>15</v>
      </c>
      <c r="H183" s="34">
        <f>E183/F183/G183*项目看板!$C$38*项目看板!$E$38*项目看板!$G$38</f>
        <v>426934.606633333</v>
      </c>
    </row>
    <row r="184" spans="1:8">
      <c r="A184">
        <v>2022</v>
      </c>
      <c r="B184">
        <v>3</v>
      </c>
      <c r="C184" t="s">
        <v>23</v>
      </c>
      <c r="E184">
        <v>507760</v>
      </c>
      <c r="F184">
        <v>160</v>
      </c>
      <c r="G184">
        <v>15</v>
      </c>
      <c r="H184" s="34">
        <f>E184/F184/G184*项目看板!$C$38*项目看板!$E$38*项目看板!$G$38</f>
        <v>336814.133333333</v>
      </c>
    </row>
    <row r="185" spans="1:8">
      <c r="A185">
        <v>2022</v>
      </c>
      <c r="B185">
        <v>4</v>
      </c>
      <c r="C185" t="s">
        <v>23</v>
      </c>
      <c r="E185">
        <v>479724.99</v>
      </c>
      <c r="F185">
        <v>160</v>
      </c>
      <c r="G185">
        <v>15</v>
      </c>
      <c r="H185" s="34">
        <f>E185/F185/G185*项目看板!$C$38*项目看板!$E$38*项目看板!$G$38</f>
        <v>318217.5767</v>
      </c>
    </row>
    <row r="186" spans="1:8">
      <c r="A186">
        <v>2022</v>
      </c>
      <c r="B186">
        <v>5</v>
      </c>
      <c r="C186" t="s">
        <v>23</v>
      </c>
      <c r="E186">
        <v>563567</v>
      </c>
      <c r="F186">
        <v>160</v>
      </c>
      <c r="G186">
        <v>15</v>
      </c>
      <c r="H186" s="34">
        <f>E186/F186/G186*项目看板!$C$38*项目看板!$E$38*项目看板!$G$38</f>
        <v>373832.776666667</v>
      </c>
    </row>
    <row r="187" spans="1:8">
      <c r="A187">
        <v>2022</v>
      </c>
      <c r="B187">
        <v>6</v>
      </c>
      <c r="C187" t="s">
        <v>23</v>
      </c>
      <c r="E187">
        <v>665565</v>
      </c>
      <c r="F187">
        <v>160</v>
      </c>
      <c r="G187">
        <v>15</v>
      </c>
      <c r="H187" s="34">
        <f>E187/F187/G187*项目看板!$C$38*项目看板!$E$38*项目看板!$G$38</f>
        <v>441491.45</v>
      </c>
    </row>
    <row r="188" spans="1:8">
      <c r="A188">
        <v>2022</v>
      </c>
      <c r="B188">
        <v>7</v>
      </c>
      <c r="C188" t="s">
        <v>23</v>
      </c>
      <c r="E188">
        <v>395960.17</v>
      </c>
      <c r="F188">
        <v>160</v>
      </c>
      <c r="G188">
        <v>15</v>
      </c>
      <c r="H188" s="34">
        <f>E188/F188/G188*项目看板!$C$38*项目看板!$E$38*项目看板!$G$38</f>
        <v>262653.579433333</v>
      </c>
    </row>
    <row r="189" spans="1:8">
      <c r="A189">
        <v>2022</v>
      </c>
      <c r="B189">
        <v>8</v>
      </c>
      <c r="C189" t="s">
        <v>23</v>
      </c>
      <c r="E189">
        <v>532123.32</v>
      </c>
      <c r="F189">
        <v>160</v>
      </c>
      <c r="G189">
        <v>15</v>
      </c>
      <c r="H189" s="34">
        <f>E189/F189/G189*项目看板!$C$38*项目看板!$E$38*项目看板!$G$38</f>
        <v>352975.1356</v>
      </c>
    </row>
    <row r="190" spans="1:8">
      <c r="A190">
        <v>2021</v>
      </c>
      <c r="B190">
        <v>9</v>
      </c>
      <c r="C190" t="s">
        <v>23</v>
      </c>
      <c r="E190">
        <v>584610</v>
      </c>
      <c r="F190">
        <v>160</v>
      </c>
      <c r="G190">
        <v>15</v>
      </c>
      <c r="H190" s="34">
        <f>E190/F190/G190*项目看板!$C$38*项目看板!$E$38*项目看板!$G$38</f>
        <v>387791.3</v>
      </c>
    </row>
    <row r="191" spans="1:8">
      <c r="A191">
        <v>2021</v>
      </c>
      <c r="B191">
        <v>10</v>
      </c>
      <c r="C191" t="s">
        <v>23</v>
      </c>
      <c r="E191">
        <v>597610</v>
      </c>
      <c r="F191">
        <v>160</v>
      </c>
      <c r="G191">
        <v>15</v>
      </c>
      <c r="H191" s="34">
        <f>E191/F191/G191*项目看板!$C$38*项目看板!$E$38*项目看板!$G$38</f>
        <v>396414.633333333</v>
      </c>
    </row>
    <row r="192" spans="1:8">
      <c r="A192">
        <v>2021</v>
      </c>
      <c r="B192">
        <v>11</v>
      </c>
      <c r="C192" t="s">
        <v>23</v>
      </c>
      <c r="E192">
        <v>617355</v>
      </c>
      <c r="F192">
        <v>160</v>
      </c>
      <c r="G192">
        <v>15</v>
      </c>
      <c r="H192" s="34">
        <f>E192/F192/G192*项目看板!$C$38*项目看板!$E$38*项目看板!$G$38</f>
        <v>409512.15</v>
      </c>
    </row>
    <row r="193" spans="1:8">
      <c r="A193">
        <v>2021</v>
      </c>
      <c r="B193">
        <v>12</v>
      </c>
      <c r="C193" t="s">
        <v>23</v>
      </c>
      <c r="E193">
        <v>550422.5</v>
      </c>
      <c r="F193">
        <v>160</v>
      </c>
      <c r="G193">
        <v>15</v>
      </c>
      <c r="H193" s="34">
        <f>E193/F193/G193*项目看板!$C$38*项目看板!$E$38*项目看板!$G$38</f>
        <v>365113.591666667</v>
      </c>
    </row>
  </sheetData>
  <autoFilter xmlns:etc="http://www.wps.cn/officeDocument/2017/etCustomData" ref="A1:D19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M13" sqref="M13"/>
    </sheetView>
  </sheetViews>
  <sheetFormatPr defaultColWidth="9" defaultRowHeight="14.25" outlineLevelRow="3"/>
  <cols>
    <col min="3" max="4" width="10.25" customWidth="1"/>
    <col min="6" max="6" width="10.25" customWidth="1"/>
    <col min="7" max="7" width="12.125" customWidth="1"/>
    <col min="8" max="8" width="10.25" customWidth="1"/>
    <col min="10" max="10" width="12.125" customWidth="1"/>
  </cols>
  <sheetData>
    <row r="1" spans="1:11">
      <c r="A1" t="s">
        <v>0</v>
      </c>
      <c r="B1" t="s">
        <v>1</v>
      </c>
      <c r="C1" t="s">
        <v>24</v>
      </c>
      <c r="D1" t="s">
        <v>25</v>
      </c>
      <c r="E1" t="s">
        <v>2</v>
      </c>
      <c r="F1" t="s">
        <v>3</v>
      </c>
      <c r="G1" t="s">
        <v>26</v>
      </c>
      <c r="H1" t="s">
        <v>27</v>
      </c>
      <c r="I1" t="s">
        <v>4</v>
      </c>
      <c r="J1" t="s">
        <v>28</v>
      </c>
      <c r="K1" t="s">
        <v>29</v>
      </c>
    </row>
    <row r="2" spans="1:11">
      <c r="A2">
        <v>2022</v>
      </c>
      <c r="B2">
        <v>5</v>
      </c>
      <c r="C2" t="s">
        <v>30</v>
      </c>
      <c r="D2" t="s">
        <v>31</v>
      </c>
      <c r="E2" t="s">
        <v>32</v>
      </c>
      <c r="F2">
        <v>79775</v>
      </c>
      <c r="G2">
        <v>0</v>
      </c>
      <c r="H2">
        <v>134776</v>
      </c>
      <c r="I2">
        <v>214551</v>
      </c>
      <c r="J2">
        <v>187902.67</v>
      </c>
      <c r="K2">
        <v>-0.124205107410359</v>
      </c>
    </row>
    <row r="3" spans="1:11">
      <c r="A3">
        <v>2022</v>
      </c>
      <c r="B3">
        <v>5</v>
      </c>
      <c r="C3" t="s">
        <v>30</v>
      </c>
      <c r="D3" t="s">
        <v>33</v>
      </c>
      <c r="E3" t="s">
        <v>34</v>
      </c>
      <c r="F3">
        <v>61188.01</v>
      </c>
      <c r="G3">
        <v>0</v>
      </c>
      <c r="H3">
        <v>57422</v>
      </c>
      <c r="I3">
        <v>118610.01</v>
      </c>
      <c r="J3">
        <v>170543.43</v>
      </c>
      <c r="K3">
        <v>0.437850228661139</v>
      </c>
    </row>
    <row r="4" spans="1:11">
      <c r="A4">
        <v>2022</v>
      </c>
      <c r="B4">
        <v>5</v>
      </c>
      <c r="C4" t="s">
        <v>30</v>
      </c>
      <c r="D4" t="s">
        <v>33</v>
      </c>
      <c r="E4" t="s">
        <v>35</v>
      </c>
      <c r="F4">
        <v>90992</v>
      </c>
      <c r="G4">
        <v>300</v>
      </c>
      <c r="H4">
        <v>119000</v>
      </c>
      <c r="I4">
        <v>210292</v>
      </c>
      <c r="J4">
        <v>286265.34</v>
      </c>
      <c r="K4">
        <v>0.361275464592091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workbookViewId="0">
      <selection activeCell="A1" sqref="A1:K37"/>
    </sheetView>
  </sheetViews>
  <sheetFormatPr defaultColWidth="9" defaultRowHeight="14.25"/>
  <cols>
    <col min="3" max="4" width="10.25" customWidth="1"/>
    <col min="6" max="6" width="10.25" customWidth="1"/>
    <col min="7" max="7" width="12.125" customWidth="1"/>
    <col min="8" max="8" width="10.25" customWidth="1"/>
    <col min="10" max="10" width="12.125" customWidth="1"/>
  </cols>
  <sheetData>
    <row r="1" spans="1:11">
      <c r="A1" t="s">
        <v>0</v>
      </c>
      <c r="B1" t="s">
        <v>1</v>
      </c>
      <c r="C1" t="s">
        <v>24</v>
      </c>
      <c r="D1" t="s">
        <v>25</v>
      </c>
      <c r="E1" t="s">
        <v>2</v>
      </c>
      <c r="F1" t="s">
        <v>3</v>
      </c>
      <c r="G1" t="s">
        <v>26</v>
      </c>
      <c r="H1" t="s">
        <v>27</v>
      </c>
      <c r="I1" t="s">
        <v>4</v>
      </c>
      <c r="J1" t="s">
        <v>28</v>
      </c>
      <c r="K1" t="s">
        <v>29</v>
      </c>
    </row>
    <row r="2" spans="1:11">
      <c r="A2">
        <v>2022</v>
      </c>
      <c r="B2">
        <v>12</v>
      </c>
      <c r="C2" t="s">
        <v>30</v>
      </c>
      <c r="D2" t="s">
        <v>31</v>
      </c>
      <c r="E2" t="s">
        <v>32</v>
      </c>
      <c r="F2">
        <v>82935</v>
      </c>
      <c r="H2">
        <v>164395.47</v>
      </c>
      <c r="I2">
        <v>247330.47</v>
      </c>
      <c r="J2">
        <v>242323.4</v>
      </c>
      <c r="K2">
        <v>-0.0202444526952138</v>
      </c>
    </row>
    <row r="3" spans="1:11">
      <c r="A3">
        <v>2022</v>
      </c>
      <c r="B3">
        <v>11</v>
      </c>
      <c r="C3" t="s">
        <v>30</v>
      </c>
      <c r="D3" t="s">
        <v>31</v>
      </c>
      <c r="E3" t="s">
        <v>32</v>
      </c>
      <c r="F3">
        <v>82975</v>
      </c>
      <c r="G3">
        <v>200</v>
      </c>
      <c r="H3">
        <v>135332.51</v>
      </c>
      <c r="I3">
        <v>218507.51</v>
      </c>
      <c r="J3">
        <v>212083.3</v>
      </c>
      <c r="K3">
        <v>-0.0294004082514144</v>
      </c>
    </row>
    <row r="4" spans="1:11">
      <c r="A4">
        <v>2022</v>
      </c>
      <c r="B4">
        <v>10</v>
      </c>
      <c r="C4" t="s">
        <v>30</v>
      </c>
      <c r="D4" t="s">
        <v>31</v>
      </c>
      <c r="E4" t="s">
        <v>32</v>
      </c>
      <c r="F4">
        <v>74825</v>
      </c>
      <c r="G4">
        <v>0</v>
      </c>
      <c r="H4">
        <v>128853.74</v>
      </c>
      <c r="I4">
        <v>203678.74</v>
      </c>
      <c r="J4">
        <v>216218.3</v>
      </c>
      <c r="K4">
        <v>0.0615653847819364</v>
      </c>
    </row>
    <row r="5" spans="1:11">
      <c r="A5">
        <v>2022</v>
      </c>
      <c r="B5">
        <v>9</v>
      </c>
      <c r="C5" t="s">
        <v>30</v>
      </c>
      <c r="D5" t="s">
        <v>31</v>
      </c>
      <c r="E5" t="s">
        <v>32</v>
      </c>
      <c r="F5">
        <v>88995</v>
      </c>
      <c r="G5">
        <v>500</v>
      </c>
      <c r="H5">
        <v>134256.23</v>
      </c>
      <c r="I5">
        <v>223751.23</v>
      </c>
      <c r="J5">
        <v>217860</v>
      </c>
      <c r="K5">
        <v>-0.0263293748150569</v>
      </c>
    </row>
    <row r="6" spans="1:11">
      <c r="A6">
        <v>2022</v>
      </c>
      <c r="B6">
        <v>8</v>
      </c>
      <c r="C6" t="s">
        <v>30</v>
      </c>
      <c r="D6" t="s">
        <v>31</v>
      </c>
      <c r="E6" t="s">
        <v>32</v>
      </c>
      <c r="F6">
        <v>97155</v>
      </c>
      <c r="G6">
        <v>1000</v>
      </c>
      <c r="H6">
        <v>97297.51</v>
      </c>
      <c r="I6">
        <v>195452.51</v>
      </c>
      <c r="J6">
        <v>222631</v>
      </c>
      <c r="K6">
        <v>0.139054187638726</v>
      </c>
    </row>
    <row r="7" spans="1:11">
      <c r="A7">
        <v>2022</v>
      </c>
      <c r="B7">
        <v>7</v>
      </c>
      <c r="C7" t="s">
        <v>30</v>
      </c>
      <c r="D7" t="s">
        <v>31</v>
      </c>
      <c r="E7" t="s">
        <v>32</v>
      </c>
      <c r="F7">
        <v>68990</v>
      </c>
      <c r="G7">
        <v>650</v>
      </c>
      <c r="H7">
        <v>92502.61</v>
      </c>
      <c r="I7">
        <v>162142.61</v>
      </c>
      <c r="J7">
        <v>179085</v>
      </c>
      <c r="K7">
        <v>0.104490670280934</v>
      </c>
    </row>
    <row r="8" spans="1:11">
      <c r="A8">
        <v>2022</v>
      </c>
      <c r="B8">
        <v>6</v>
      </c>
      <c r="C8" t="s">
        <v>30</v>
      </c>
      <c r="D8" t="s">
        <v>31</v>
      </c>
      <c r="E8" t="s">
        <v>32</v>
      </c>
      <c r="F8">
        <v>101170</v>
      </c>
      <c r="G8">
        <v>0</v>
      </c>
      <c r="H8">
        <v>154416</v>
      </c>
      <c r="I8">
        <v>255586</v>
      </c>
      <c r="J8">
        <v>235492.66</v>
      </c>
      <c r="K8">
        <v>-0.0786167473961797</v>
      </c>
    </row>
    <row r="9" spans="1:11">
      <c r="A9">
        <v>2022</v>
      </c>
      <c r="B9">
        <v>5</v>
      </c>
      <c r="C9" t="s">
        <v>30</v>
      </c>
      <c r="D9" t="s">
        <v>31</v>
      </c>
      <c r="E9" t="s">
        <v>32</v>
      </c>
      <c r="F9">
        <v>79775</v>
      </c>
      <c r="G9">
        <v>0</v>
      </c>
      <c r="H9">
        <v>134776</v>
      </c>
      <c r="I9">
        <v>214551</v>
      </c>
      <c r="J9">
        <v>187902.67</v>
      </c>
      <c r="K9">
        <v>-0.124205107410359</v>
      </c>
    </row>
    <row r="10" spans="1:11">
      <c r="A10">
        <v>2022</v>
      </c>
      <c r="B10">
        <v>4</v>
      </c>
      <c r="C10" t="s">
        <v>30</v>
      </c>
      <c r="D10" t="s">
        <v>31</v>
      </c>
      <c r="E10" t="s">
        <v>32</v>
      </c>
      <c r="F10">
        <v>91540</v>
      </c>
      <c r="G10">
        <v>750</v>
      </c>
      <c r="H10">
        <v>134766</v>
      </c>
      <c r="I10">
        <v>227056</v>
      </c>
      <c r="J10">
        <v>199277.67</v>
      </c>
      <c r="K10">
        <v>-0.122341316679586</v>
      </c>
    </row>
    <row r="11" spans="1:11">
      <c r="A11">
        <v>2022</v>
      </c>
      <c r="B11">
        <v>3</v>
      </c>
      <c r="C11" t="s">
        <v>30</v>
      </c>
      <c r="D11" t="s">
        <v>31</v>
      </c>
      <c r="E11" t="s">
        <v>32</v>
      </c>
      <c r="F11">
        <v>77260</v>
      </c>
      <c r="G11">
        <v>0</v>
      </c>
      <c r="H11">
        <v>137046</v>
      </c>
      <c r="I11">
        <v>214306</v>
      </c>
      <c r="J11">
        <v>186397</v>
      </c>
      <c r="K11">
        <v>-0.130229671591089</v>
      </c>
    </row>
    <row r="12" spans="1:11">
      <c r="A12">
        <v>2022</v>
      </c>
      <c r="B12">
        <v>2</v>
      </c>
      <c r="C12" t="s">
        <v>30</v>
      </c>
      <c r="D12" t="s">
        <v>31</v>
      </c>
      <c r="E12" t="s">
        <v>32</v>
      </c>
      <c r="F12">
        <v>70545</v>
      </c>
      <c r="G12">
        <v>0</v>
      </c>
      <c r="H12">
        <v>134926</v>
      </c>
      <c r="I12">
        <v>205471</v>
      </c>
      <c r="J12">
        <v>155552</v>
      </c>
      <c r="K12">
        <v>-0.242949126640743</v>
      </c>
    </row>
    <row r="13" spans="1:11">
      <c r="A13">
        <v>2022</v>
      </c>
      <c r="B13">
        <v>1</v>
      </c>
      <c r="C13" t="s">
        <v>30</v>
      </c>
      <c r="D13" t="s">
        <v>31</v>
      </c>
      <c r="E13" t="s">
        <v>32</v>
      </c>
      <c r="F13">
        <v>53810</v>
      </c>
      <c r="G13">
        <v>0</v>
      </c>
      <c r="H13">
        <v>89420</v>
      </c>
      <c r="I13">
        <v>143230</v>
      </c>
      <c r="J13">
        <v>154156</v>
      </c>
      <c r="K13">
        <v>0.0762829016267541</v>
      </c>
    </row>
    <row r="14" spans="1:11">
      <c r="A14">
        <v>2022</v>
      </c>
      <c r="B14">
        <v>12</v>
      </c>
      <c r="C14" t="s">
        <v>30</v>
      </c>
      <c r="D14" t="s">
        <v>33</v>
      </c>
      <c r="E14" t="s">
        <v>34</v>
      </c>
      <c r="F14">
        <v>67461.35</v>
      </c>
      <c r="G14">
        <v>0</v>
      </c>
      <c r="H14">
        <v>53755.22</v>
      </c>
      <c r="I14">
        <v>121216.57</v>
      </c>
      <c r="J14">
        <v>121055.8</v>
      </c>
      <c r="K14">
        <v>-0.00132630382133403</v>
      </c>
    </row>
    <row r="15" spans="1:11">
      <c r="A15">
        <v>2022</v>
      </c>
      <c r="B15">
        <v>11</v>
      </c>
      <c r="C15" t="s">
        <v>30</v>
      </c>
      <c r="D15" t="s">
        <v>33</v>
      </c>
      <c r="E15" t="s">
        <v>34</v>
      </c>
      <c r="F15">
        <v>66506.25</v>
      </c>
      <c r="G15">
        <v>0</v>
      </c>
      <c r="H15">
        <v>45536.54</v>
      </c>
      <c r="I15">
        <v>112042.79</v>
      </c>
      <c r="J15">
        <v>96271.57</v>
      </c>
      <c r="K15">
        <v>-0.140760686162849</v>
      </c>
    </row>
    <row r="16" spans="1:11">
      <c r="A16">
        <v>2022</v>
      </c>
      <c r="B16">
        <v>10</v>
      </c>
      <c r="C16" t="s">
        <v>30</v>
      </c>
      <c r="D16" t="s">
        <v>33</v>
      </c>
      <c r="E16" t="s">
        <v>34</v>
      </c>
      <c r="F16">
        <v>61683.86</v>
      </c>
      <c r="G16">
        <v>0</v>
      </c>
      <c r="H16">
        <v>46121.96</v>
      </c>
      <c r="I16">
        <v>107805.82</v>
      </c>
      <c r="J16">
        <v>97952.47</v>
      </c>
      <c r="K16">
        <v>-0.0913990543367696</v>
      </c>
    </row>
    <row r="17" spans="1:11">
      <c r="A17">
        <v>2022</v>
      </c>
      <c r="B17">
        <v>9</v>
      </c>
      <c r="C17" t="s">
        <v>30</v>
      </c>
      <c r="D17" t="s">
        <v>33</v>
      </c>
      <c r="E17" t="s">
        <v>34</v>
      </c>
      <c r="F17">
        <v>61977.84</v>
      </c>
      <c r="G17">
        <v>0</v>
      </c>
      <c r="H17">
        <v>51813.35</v>
      </c>
      <c r="I17">
        <v>113791.19</v>
      </c>
      <c r="J17">
        <v>111094.59</v>
      </c>
      <c r="K17">
        <v>-0.0236977924213642</v>
      </c>
    </row>
    <row r="18" spans="1:11">
      <c r="A18">
        <v>2022</v>
      </c>
      <c r="B18">
        <v>8</v>
      </c>
      <c r="C18" t="s">
        <v>30</v>
      </c>
      <c r="D18" t="s">
        <v>33</v>
      </c>
      <c r="E18" t="s">
        <v>34</v>
      </c>
      <c r="F18">
        <v>70057.57</v>
      </c>
      <c r="G18">
        <v>0</v>
      </c>
      <c r="H18">
        <v>51576.0700000002</v>
      </c>
      <c r="I18">
        <v>121633.64</v>
      </c>
      <c r="J18">
        <v>119895.23</v>
      </c>
      <c r="K18">
        <v>-0.014292181011768</v>
      </c>
    </row>
    <row r="19" spans="1:11">
      <c r="A19">
        <v>2022</v>
      </c>
      <c r="B19">
        <v>7</v>
      </c>
      <c r="C19" t="s">
        <v>30</v>
      </c>
      <c r="D19" t="s">
        <v>33</v>
      </c>
      <c r="E19" t="s">
        <v>34</v>
      </c>
      <c r="F19">
        <v>58195.01</v>
      </c>
      <c r="G19">
        <v>0</v>
      </c>
      <c r="H19">
        <v>-2127.92</v>
      </c>
      <c r="I19">
        <v>56067.09</v>
      </c>
      <c r="J19">
        <v>96076.45</v>
      </c>
      <c r="K19">
        <v>0.713597941323511</v>
      </c>
    </row>
    <row r="20" spans="1:11">
      <c r="A20">
        <v>2022</v>
      </c>
      <c r="B20">
        <v>6</v>
      </c>
      <c r="C20" t="s">
        <v>30</v>
      </c>
      <c r="D20" t="s">
        <v>33</v>
      </c>
      <c r="E20" t="s">
        <v>34</v>
      </c>
      <c r="F20">
        <v>75321.21</v>
      </c>
      <c r="G20">
        <v>0</v>
      </c>
      <c r="H20">
        <v>61035</v>
      </c>
      <c r="I20">
        <v>136356.21</v>
      </c>
      <c r="J20">
        <v>156385.85</v>
      </c>
      <c r="K20">
        <v>0.146892026406425</v>
      </c>
    </row>
    <row r="21" spans="1:11">
      <c r="A21">
        <v>2022</v>
      </c>
      <c r="B21">
        <v>5</v>
      </c>
      <c r="C21" t="s">
        <v>30</v>
      </c>
      <c r="D21" t="s">
        <v>33</v>
      </c>
      <c r="E21" t="s">
        <v>34</v>
      </c>
      <c r="F21">
        <v>61188.01</v>
      </c>
      <c r="G21">
        <v>0</v>
      </c>
      <c r="H21">
        <v>57422</v>
      </c>
      <c r="I21">
        <v>118610.01</v>
      </c>
      <c r="J21">
        <v>170543.43</v>
      </c>
      <c r="K21">
        <v>0.437850228661139</v>
      </c>
    </row>
    <row r="22" spans="1:11">
      <c r="A22">
        <v>2022</v>
      </c>
      <c r="B22">
        <v>4</v>
      </c>
      <c r="C22" t="s">
        <v>30</v>
      </c>
      <c r="D22" t="s">
        <v>33</v>
      </c>
      <c r="E22" t="s">
        <v>34</v>
      </c>
      <c r="F22">
        <v>59647.28</v>
      </c>
      <c r="G22">
        <v>0</v>
      </c>
      <c r="H22">
        <v>47348</v>
      </c>
      <c r="I22">
        <v>106995.28</v>
      </c>
      <c r="J22">
        <v>179143.44</v>
      </c>
      <c r="K22">
        <v>0.674311614493649</v>
      </c>
    </row>
    <row r="23" spans="1:11">
      <c r="A23">
        <v>2022</v>
      </c>
      <c r="B23">
        <v>3</v>
      </c>
      <c r="C23" t="s">
        <v>30</v>
      </c>
      <c r="D23" t="s">
        <v>33</v>
      </c>
      <c r="E23" t="s">
        <v>34</v>
      </c>
      <c r="F23">
        <v>54247.98</v>
      </c>
      <c r="G23">
        <v>0</v>
      </c>
      <c r="H23">
        <v>46266</v>
      </c>
      <c r="I23">
        <v>100513.98</v>
      </c>
      <c r="J23">
        <v>168555.28</v>
      </c>
      <c r="K23">
        <v>0.676933696188331</v>
      </c>
    </row>
    <row r="24" spans="1:11">
      <c r="A24">
        <v>2022</v>
      </c>
      <c r="B24">
        <v>2</v>
      </c>
      <c r="C24" t="s">
        <v>30</v>
      </c>
      <c r="D24" t="s">
        <v>33</v>
      </c>
      <c r="E24" t="s">
        <v>34</v>
      </c>
      <c r="F24">
        <v>60783.79</v>
      </c>
      <c r="G24">
        <v>0</v>
      </c>
      <c r="H24">
        <v>46381</v>
      </c>
      <c r="I24">
        <v>107164.79</v>
      </c>
      <c r="J24">
        <v>162941.76</v>
      </c>
      <c r="K24">
        <v>0.520478507912907</v>
      </c>
    </row>
    <row r="25" spans="1:11">
      <c r="A25">
        <v>2022</v>
      </c>
      <c r="B25">
        <v>1</v>
      </c>
      <c r="C25" t="s">
        <v>30</v>
      </c>
      <c r="D25" t="s">
        <v>33</v>
      </c>
      <c r="E25" t="s">
        <v>34</v>
      </c>
      <c r="F25">
        <v>44407.44</v>
      </c>
      <c r="G25">
        <v>0</v>
      </c>
      <c r="H25">
        <v>34379.35</v>
      </c>
      <c r="I25">
        <v>78786.79</v>
      </c>
      <c r="J25">
        <v>151172.11</v>
      </c>
      <c r="K25">
        <v>0.918749450256826</v>
      </c>
    </row>
    <row r="26" spans="1:11">
      <c r="A26">
        <v>2022</v>
      </c>
      <c r="B26">
        <v>12</v>
      </c>
      <c r="C26" t="s">
        <v>30</v>
      </c>
      <c r="D26" t="s">
        <v>33</v>
      </c>
      <c r="E26" t="s">
        <v>35</v>
      </c>
      <c r="F26">
        <v>101956</v>
      </c>
      <c r="G26">
        <v>11720</v>
      </c>
      <c r="H26">
        <v>148104.17</v>
      </c>
      <c r="I26">
        <v>261780.17</v>
      </c>
      <c r="J26">
        <v>310301</v>
      </c>
      <c r="K26">
        <v>0.185349524373829</v>
      </c>
    </row>
    <row r="27" spans="1:11">
      <c r="A27">
        <v>2022</v>
      </c>
      <c r="B27">
        <v>11</v>
      </c>
      <c r="C27" t="s">
        <v>30</v>
      </c>
      <c r="D27" t="s">
        <v>33</v>
      </c>
      <c r="E27" t="s">
        <v>35</v>
      </c>
      <c r="F27">
        <v>112848</v>
      </c>
      <c r="G27">
        <v>1424</v>
      </c>
      <c r="H27">
        <v>171132.14</v>
      </c>
      <c r="I27">
        <v>285404.14</v>
      </c>
      <c r="J27">
        <v>226338</v>
      </c>
      <c r="K27">
        <v>-0.206956142962748</v>
      </c>
    </row>
    <row r="28" spans="1:11">
      <c r="A28">
        <v>2022</v>
      </c>
      <c r="B28">
        <v>10</v>
      </c>
      <c r="C28" t="s">
        <v>30</v>
      </c>
      <c r="D28" t="s">
        <v>33</v>
      </c>
      <c r="E28" t="s">
        <v>35</v>
      </c>
      <c r="F28">
        <v>105428</v>
      </c>
      <c r="G28">
        <v>10000</v>
      </c>
      <c r="H28">
        <v>189045.37</v>
      </c>
      <c r="I28">
        <v>304473.37</v>
      </c>
      <c r="J28">
        <v>219653</v>
      </c>
      <c r="K28">
        <v>-0.278580586538652</v>
      </c>
    </row>
    <row r="29" spans="1:11">
      <c r="A29">
        <v>2022</v>
      </c>
      <c r="B29">
        <v>9</v>
      </c>
      <c r="C29" t="s">
        <v>30</v>
      </c>
      <c r="D29" t="s">
        <v>33</v>
      </c>
      <c r="E29" t="s">
        <v>35</v>
      </c>
      <c r="F29">
        <v>108712</v>
      </c>
      <c r="H29">
        <v>189101.94</v>
      </c>
      <c r="I29">
        <v>297813.94</v>
      </c>
      <c r="J29">
        <v>239999.26</v>
      </c>
      <c r="K29">
        <v>-0.194130200889858</v>
      </c>
    </row>
    <row r="30" spans="1:11">
      <c r="A30">
        <v>2022</v>
      </c>
      <c r="B30">
        <v>8</v>
      </c>
      <c r="C30" t="s">
        <v>30</v>
      </c>
      <c r="D30" t="s">
        <v>33</v>
      </c>
      <c r="E30" t="s">
        <v>35</v>
      </c>
      <c r="F30">
        <v>95972</v>
      </c>
      <c r="H30">
        <v>56406.04</v>
      </c>
      <c r="I30">
        <v>152378.04</v>
      </c>
      <c r="J30">
        <v>251789.34</v>
      </c>
      <c r="K30">
        <v>0.652399125228281</v>
      </c>
    </row>
    <row r="31" spans="1:11">
      <c r="A31">
        <v>2022</v>
      </c>
      <c r="B31">
        <v>7</v>
      </c>
      <c r="C31" t="s">
        <v>30</v>
      </c>
      <c r="D31" t="s">
        <v>33</v>
      </c>
      <c r="E31" t="s">
        <v>35</v>
      </c>
      <c r="F31">
        <v>83576</v>
      </c>
      <c r="G31">
        <v>10000</v>
      </c>
      <c r="H31">
        <v>-5440.21</v>
      </c>
      <c r="I31">
        <v>88135.79</v>
      </c>
      <c r="J31">
        <v>201403.34</v>
      </c>
      <c r="K31">
        <v>1.28514817873647</v>
      </c>
    </row>
    <row r="32" spans="1:11">
      <c r="A32">
        <v>2022</v>
      </c>
      <c r="B32">
        <v>6</v>
      </c>
      <c r="C32" t="s">
        <v>30</v>
      </c>
      <c r="D32" t="s">
        <v>33</v>
      </c>
      <c r="E32" t="s">
        <v>35</v>
      </c>
      <c r="F32">
        <v>130324</v>
      </c>
      <c r="G32">
        <v>10000</v>
      </c>
      <c r="H32">
        <v>117200</v>
      </c>
      <c r="I32">
        <v>257524</v>
      </c>
      <c r="J32">
        <v>302454.34</v>
      </c>
      <c r="K32">
        <v>0.174470495953775</v>
      </c>
    </row>
    <row r="33" spans="1:11">
      <c r="A33">
        <v>2022</v>
      </c>
      <c r="B33">
        <v>5</v>
      </c>
      <c r="C33" t="s">
        <v>30</v>
      </c>
      <c r="D33" t="s">
        <v>33</v>
      </c>
      <c r="E33" t="s">
        <v>35</v>
      </c>
      <c r="F33">
        <v>90992</v>
      </c>
      <c r="G33">
        <v>300</v>
      </c>
      <c r="H33">
        <v>119000</v>
      </c>
      <c r="I33">
        <v>210292</v>
      </c>
      <c r="J33">
        <v>286265.34</v>
      </c>
      <c r="K33">
        <v>0.361275464592091</v>
      </c>
    </row>
    <row r="34" spans="1:11">
      <c r="A34">
        <v>2022</v>
      </c>
      <c r="B34">
        <v>4</v>
      </c>
      <c r="C34" t="s">
        <v>30</v>
      </c>
      <c r="D34" t="s">
        <v>33</v>
      </c>
      <c r="E34" t="s">
        <v>35</v>
      </c>
      <c r="F34">
        <v>95148</v>
      </c>
      <c r="H34">
        <v>141950</v>
      </c>
      <c r="I34">
        <v>237098</v>
      </c>
      <c r="J34">
        <v>279665.34</v>
      </c>
      <c r="K34">
        <v>0.179534791520806</v>
      </c>
    </row>
    <row r="35" spans="1:11">
      <c r="A35">
        <v>2022</v>
      </c>
      <c r="B35">
        <v>3</v>
      </c>
      <c r="C35" t="s">
        <v>30</v>
      </c>
      <c r="D35" t="s">
        <v>33</v>
      </c>
      <c r="E35" t="s">
        <v>35</v>
      </c>
      <c r="F35">
        <v>120392</v>
      </c>
      <c r="G35">
        <v>1524</v>
      </c>
      <c r="H35">
        <v>258100</v>
      </c>
      <c r="I35">
        <v>380016</v>
      </c>
      <c r="J35">
        <v>284264.34</v>
      </c>
      <c r="K35">
        <v>-0.251967443476064</v>
      </c>
    </row>
    <row r="36" spans="1:11">
      <c r="A36">
        <v>2022</v>
      </c>
      <c r="B36">
        <v>2</v>
      </c>
      <c r="C36" t="s">
        <v>30</v>
      </c>
      <c r="D36" t="s">
        <v>33</v>
      </c>
      <c r="E36" t="s">
        <v>35</v>
      </c>
      <c r="F36">
        <v>163640</v>
      </c>
      <c r="G36">
        <v>21048</v>
      </c>
      <c r="H36">
        <v>224900</v>
      </c>
      <c r="I36">
        <v>409588</v>
      </c>
      <c r="J36">
        <v>307473.65</v>
      </c>
      <c r="K36">
        <v>-0.249309916306142</v>
      </c>
    </row>
    <row r="37" spans="1:11">
      <c r="A37">
        <v>2022</v>
      </c>
      <c r="B37">
        <v>1</v>
      </c>
      <c r="C37" t="s">
        <v>30</v>
      </c>
      <c r="D37" t="s">
        <v>33</v>
      </c>
      <c r="E37" t="s">
        <v>35</v>
      </c>
      <c r="F37">
        <v>115976</v>
      </c>
      <c r="G37">
        <v>10000</v>
      </c>
      <c r="H37">
        <v>217550</v>
      </c>
      <c r="I37">
        <v>343526</v>
      </c>
      <c r="J37">
        <v>204627.68</v>
      </c>
      <c r="K37">
        <v>-0.404331316989107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workbookViewId="0">
      <selection activeCell="A1" sqref="A1:K37"/>
    </sheetView>
  </sheetViews>
  <sheetFormatPr defaultColWidth="9" defaultRowHeight="14.25"/>
  <cols>
    <col min="3" max="4" width="10.25" customWidth="1"/>
    <col min="6" max="6" width="10.25" customWidth="1"/>
    <col min="7" max="7" width="12.125" customWidth="1"/>
    <col min="8" max="8" width="10.25" customWidth="1"/>
    <col min="10" max="10" width="12.125" customWidth="1"/>
  </cols>
  <sheetData>
    <row r="1" spans="1:11">
      <c r="A1" t="s">
        <v>0</v>
      </c>
      <c r="B1" t="s">
        <v>1</v>
      </c>
      <c r="C1" t="s">
        <v>24</v>
      </c>
      <c r="D1" t="s">
        <v>25</v>
      </c>
      <c r="E1" t="s">
        <v>2</v>
      </c>
      <c r="F1" t="s">
        <v>3</v>
      </c>
      <c r="G1" t="s">
        <v>26</v>
      </c>
      <c r="H1" t="s">
        <v>27</v>
      </c>
      <c r="I1" t="s">
        <v>4</v>
      </c>
      <c r="J1" t="s">
        <v>28</v>
      </c>
      <c r="K1" t="s">
        <v>29</v>
      </c>
    </row>
    <row r="2" spans="1:11">
      <c r="A2">
        <v>2022</v>
      </c>
      <c r="B2">
        <v>12</v>
      </c>
      <c r="C2" t="s">
        <v>30</v>
      </c>
      <c r="D2" t="s">
        <v>31</v>
      </c>
      <c r="E2" t="s">
        <v>32</v>
      </c>
      <c r="F2">
        <v>82935</v>
      </c>
      <c r="H2">
        <v>164395.47</v>
      </c>
      <c r="I2">
        <v>247330.47</v>
      </c>
      <c r="J2">
        <v>242323.4</v>
      </c>
      <c r="K2">
        <v>-0.0202444526952138</v>
      </c>
    </row>
    <row r="3" spans="1:11">
      <c r="A3">
        <v>2022</v>
      </c>
      <c r="B3">
        <v>11</v>
      </c>
      <c r="C3" t="s">
        <v>30</v>
      </c>
      <c r="D3" t="s">
        <v>31</v>
      </c>
      <c r="E3" t="s">
        <v>32</v>
      </c>
      <c r="F3">
        <v>82975</v>
      </c>
      <c r="G3">
        <v>200</v>
      </c>
      <c r="H3">
        <v>135332.51</v>
      </c>
      <c r="I3">
        <v>218507.51</v>
      </c>
      <c r="J3">
        <v>212083.3</v>
      </c>
      <c r="K3">
        <v>-0.0294004082514144</v>
      </c>
    </row>
    <row r="4" spans="1:11">
      <c r="A4">
        <v>2022</v>
      </c>
      <c r="B4">
        <v>10</v>
      </c>
      <c r="C4" t="s">
        <v>30</v>
      </c>
      <c r="D4" t="s">
        <v>31</v>
      </c>
      <c r="E4" t="s">
        <v>32</v>
      </c>
      <c r="F4">
        <v>74825</v>
      </c>
      <c r="G4">
        <v>0</v>
      </c>
      <c r="H4">
        <v>128853.74</v>
      </c>
      <c r="I4">
        <v>203678.74</v>
      </c>
      <c r="J4">
        <v>216218.3</v>
      </c>
      <c r="K4">
        <v>0.0615653847819364</v>
      </c>
    </row>
    <row r="5" spans="1:11">
      <c r="A5">
        <v>2022</v>
      </c>
      <c r="B5">
        <v>9</v>
      </c>
      <c r="C5" t="s">
        <v>30</v>
      </c>
      <c r="D5" t="s">
        <v>31</v>
      </c>
      <c r="E5" t="s">
        <v>32</v>
      </c>
      <c r="F5">
        <v>88995</v>
      </c>
      <c r="G5">
        <v>500</v>
      </c>
      <c r="H5">
        <v>134256.23</v>
      </c>
      <c r="I5">
        <v>223751.23</v>
      </c>
      <c r="J5">
        <v>217860</v>
      </c>
      <c r="K5">
        <v>-0.0263293748150569</v>
      </c>
    </row>
    <row r="6" spans="1:11">
      <c r="A6">
        <v>2022</v>
      </c>
      <c r="B6">
        <v>8</v>
      </c>
      <c r="C6" t="s">
        <v>30</v>
      </c>
      <c r="D6" t="s">
        <v>31</v>
      </c>
      <c r="E6" t="s">
        <v>32</v>
      </c>
      <c r="F6">
        <v>97155</v>
      </c>
      <c r="G6">
        <v>1000</v>
      </c>
      <c r="H6">
        <v>97297.51</v>
      </c>
      <c r="I6">
        <v>195452.51</v>
      </c>
      <c r="J6">
        <v>222631</v>
      </c>
      <c r="K6">
        <v>0.139054187638726</v>
      </c>
    </row>
    <row r="7" spans="1:11">
      <c r="A7">
        <v>2022</v>
      </c>
      <c r="B7">
        <v>7</v>
      </c>
      <c r="C7" t="s">
        <v>30</v>
      </c>
      <c r="D7" t="s">
        <v>31</v>
      </c>
      <c r="E7" t="s">
        <v>32</v>
      </c>
      <c r="F7">
        <v>68990</v>
      </c>
      <c r="G7">
        <v>650</v>
      </c>
      <c r="H7">
        <v>92502.61</v>
      </c>
      <c r="I7">
        <v>162142.61</v>
      </c>
      <c r="J7">
        <v>179085</v>
      </c>
      <c r="K7">
        <v>0.104490670280934</v>
      </c>
    </row>
    <row r="8" spans="1:11">
      <c r="A8">
        <v>2022</v>
      </c>
      <c r="B8">
        <v>6</v>
      </c>
      <c r="C8" t="s">
        <v>30</v>
      </c>
      <c r="D8" t="s">
        <v>31</v>
      </c>
      <c r="E8" t="s">
        <v>32</v>
      </c>
      <c r="F8">
        <v>101170</v>
      </c>
      <c r="G8">
        <v>0</v>
      </c>
      <c r="H8">
        <v>154416</v>
      </c>
      <c r="I8">
        <v>255586</v>
      </c>
      <c r="J8">
        <v>235492.66</v>
      </c>
      <c r="K8">
        <v>-0.0786167473961797</v>
      </c>
    </row>
    <row r="9" spans="1:11">
      <c r="A9">
        <v>2022</v>
      </c>
      <c r="B9">
        <v>5</v>
      </c>
      <c r="C9" t="s">
        <v>30</v>
      </c>
      <c r="D9" t="s">
        <v>31</v>
      </c>
      <c r="E9" t="s">
        <v>32</v>
      </c>
      <c r="F9">
        <v>79775</v>
      </c>
      <c r="G9">
        <v>0</v>
      </c>
      <c r="H9">
        <v>134776</v>
      </c>
      <c r="I9">
        <v>214551</v>
      </c>
      <c r="J9">
        <v>187902.67</v>
      </c>
      <c r="K9">
        <v>-0.124205107410359</v>
      </c>
    </row>
    <row r="10" spans="1:11">
      <c r="A10">
        <v>2022</v>
      </c>
      <c r="B10">
        <v>4</v>
      </c>
      <c r="C10" t="s">
        <v>30</v>
      </c>
      <c r="D10" t="s">
        <v>31</v>
      </c>
      <c r="E10" t="s">
        <v>32</v>
      </c>
      <c r="F10">
        <v>91540</v>
      </c>
      <c r="G10">
        <v>750</v>
      </c>
      <c r="H10">
        <v>134766</v>
      </c>
      <c r="I10">
        <v>227056</v>
      </c>
      <c r="J10">
        <v>199277.67</v>
      </c>
      <c r="K10">
        <v>-0.122341316679586</v>
      </c>
    </row>
    <row r="11" spans="1:11">
      <c r="A11">
        <v>2022</v>
      </c>
      <c r="B11">
        <v>3</v>
      </c>
      <c r="C11" t="s">
        <v>30</v>
      </c>
      <c r="D11" t="s">
        <v>31</v>
      </c>
      <c r="E11" t="s">
        <v>32</v>
      </c>
      <c r="F11">
        <v>77260</v>
      </c>
      <c r="G11">
        <v>0</v>
      </c>
      <c r="H11">
        <v>137046</v>
      </c>
      <c r="I11">
        <v>214306</v>
      </c>
      <c r="J11">
        <v>186397</v>
      </c>
      <c r="K11">
        <v>-0.130229671591089</v>
      </c>
    </row>
    <row r="12" spans="1:11">
      <c r="A12">
        <v>2022</v>
      </c>
      <c r="B12">
        <v>2</v>
      </c>
      <c r="C12" t="s">
        <v>30</v>
      </c>
      <c r="D12" t="s">
        <v>31</v>
      </c>
      <c r="E12" t="s">
        <v>32</v>
      </c>
      <c r="F12">
        <v>70545</v>
      </c>
      <c r="G12">
        <v>0</v>
      </c>
      <c r="H12">
        <v>134926</v>
      </c>
      <c r="I12">
        <v>205471</v>
      </c>
      <c r="J12">
        <v>155552</v>
      </c>
      <c r="K12">
        <v>-0.242949126640743</v>
      </c>
    </row>
    <row r="13" spans="1:11">
      <c r="A13">
        <v>2022</v>
      </c>
      <c r="B13">
        <v>1</v>
      </c>
      <c r="C13" t="s">
        <v>30</v>
      </c>
      <c r="D13" t="s">
        <v>31</v>
      </c>
      <c r="E13" t="s">
        <v>32</v>
      </c>
      <c r="F13">
        <v>53810</v>
      </c>
      <c r="G13">
        <v>0</v>
      </c>
      <c r="H13">
        <v>89420</v>
      </c>
      <c r="I13">
        <v>143230</v>
      </c>
      <c r="J13">
        <v>154156</v>
      </c>
      <c r="K13">
        <v>0.0762829016267541</v>
      </c>
    </row>
    <row r="14" spans="1:11">
      <c r="A14">
        <v>2022</v>
      </c>
      <c r="B14">
        <v>12</v>
      </c>
      <c r="C14" t="s">
        <v>30</v>
      </c>
      <c r="D14" t="s">
        <v>33</v>
      </c>
      <c r="E14" t="s">
        <v>34</v>
      </c>
      <c r="F14">
        <v>67461.35</v>
      </c>
      <c r="G14">
        <v>0</v>
      </c>
      <c r="H14">
        <v>53755.22</v>
      </c>
      <c r="I14">
        <v>121216.57</v>
      </c>
      <c r="J14">
        <v>121055.8</v>
      </c>
      <c r="K14">
        <v>-0.00132630382133403</v>
      </c>
    </row>
    <row r="15" spans="1:11">
      <c r="A15">
        <v>2022</v>
      </c>
      <c r="B15">
        <v>11</v>
      </c>
      <c r="C15" t="s">
        <v>30</v>
      </c>
      <c r="D15" t="s">
        <v>33</v>
      </c>
      <c r="E15" t="s">
        <v>34</v>
      </c>
      <c r="F15">
        <v>66506.25</v>
      </c>
      <c r="G15">
        <v>0</v>
      </c>
      <c r="H15">
        <v>45536.54</v>
      </c>
      <c r="I15">
        <v>112042.79</v>
      </c>
      <c r="J15">
        <v>96271.57</v>
      </c>
      <c r="K15">
        <v>-0.140760686162849</v>
      </c>
    </row>
    <row r="16" spans="1:11">
      <c r="A16">
        <v>2022</v>
      </c>
      <c r="B16">
        <v>10</v>
      </c>
      <c r="C16" t="s">
        <v>30</v>
      </c>
      <c r="D16" t="s">
        <v>33</v>
      </c>
      <c r="E16" t="s">
        <v>34</v>
      </c>
      <c r="F16">
        <v>61683.86</v>
      </c>
      <c r="G16">
        <v>0</v>
      </c>
      <c r="H16">
        <v>46121.96</v>
      </c>
      <c r="I16">
        <v>107805.82</v>
      </c>
      <c r="J16">
        <v>97952.47</v>
      </c>
      <c r="K16">
        <v>-0.0913990543367696</v>
      </c>
    </row>
    <row r="17" spans="1:11">
      <c r="A17">
        <v>2022</v>
      </c>
      <c r="B17">
        <v>9</v>
      </c>
      <c r="C17" t="s">
        <v>30</v>
      </c>
      <c r="D17" t="s">
        <v>33</v>
      </c>
      <c r="E17" t="s">
        <v>34</v>
      </c>
      <c r="F17">
        <v>61977.84</v>
      </c>
      <c r="G17">
        <v>0</v>
      </c>
      <c r="H17">
        <v>51813.35</v>
      </c>
      <c r="I17">
        <v>113791.19</v>
      </c>
      <c r="J17">
        <v>111094.59</v>
      </c>
      <c r="K17">
        <v>-0.0236977924213642</v>
      </c>
    </row>
    <row r="18" spans="1:11">
      <c r="A18">
        <v>2022</v>
      </c>
      <c r="B18">
        <v>8</v>
      </c>
      <c r="C18" t="s">
        <v>30</v>
      </c>
      <c r="D18" t="s">
        <v>33</v>
      </c>
      <c r="E18" t="s">
        <v>34</v>
      </c>
      <c r="F18">
        <v>70057.57</v>
      </c>
      <c r="G18">
        <v>0</v>
      </c>
      <c r="H18">
        <v>51576.0700000002</v>
      </c>
      <c r="I18">
        <v>121633.64</v>
      </c>
      <c r="J18">
        <v>119895.23</v>
      </c>
      <c r="K18">
        <v>-0.014292181011768</v>
      </c>
    </row>
    <row r="19" spans="1:11">
      <c r="A19">
        <v>2022</v>
      </c>
      <c r="B19">
        <v>7</v>
      </c>
      <c r="C19" t="s">
        <v>30</v>
      </c>
      <c r="D19" t="s">
        <v>33</v>
      </c>
      <c r="E19" t="s">
        <v>34</v>
      </c>
      <c r="F19">
        <v>58195.01</v>
      </c>
      <c r="G19">
        <v>0</v>
      </c>
      <c r="H19">
        <v>-2127.92</v>
      </c>
      <c r="I19">
        <v>56067.09</v>
      </c>
      <c r="J19">
        <v>96076.45</v>
      </c>
      <c r="K19">
        <v>0.713597941323511</v>
      </c>
    </row>
    <row r="20" spans="1:11">
      <c r="A20">
        <v>2022</v>
      </c>
      <c r="B20">
        <v>6</v>
      </c>
      <c r="C20" t="s">
        <v>30</v>
      </c>
      <c r="D20" t="s">
        <v>33</v>
      </c>
      <c r="E20" t="s">
        <v>34</v>
      </c>
      <c r="F20">
        <v>75321.21</v>
      </c>
      <c r="G20">
        <v>0</v>
      </c>
      <c r="H20">
        <v>61035</v>
      </c>
      <c r="I20">
        <v>136356.21</v>
      </c>
      <c r="J20">
        <v>156385.85</v>
      </c>
      <c r="K20">
        <v>0.146892026406425</v>
      </c>
    </row>
    <row r="21" spans="1:11">
      <c r="A21">
        <v>2022</v>
      </c>
      <c r="B21">
        <v>5</v>
      </c>
      <c r="C21" t="s">
        <v>30</v>
      </c>
      <c r="D21" t="s">
        <v>33</v>
      </c>
      <c r="E21" t="s">
        <v>34</v>
      </c>
      <c r="F21">
        <v>61188.01</v>
      </c>
      <c r="G21">
        <v>0</v>
      </c>
      <c r="H21">
        <v>57422</v>
      </c>
      <c r="I21">
        <v>118610.01</v>
      </c>
      <c r="J21">
        <v>170543.43</v>
      </c>
      <c r="K21">
        <v>0.437850228661139</v>
      </c>
    </row>
    <row r="22" spans="1:11">
      <c r="A22">
        <v>2022</v>
      </c>
      <c r="B22">
        <v>4</v>
      </c>
      <c r="C22" t="s">
        <v>30</v>
      </c>
      <c r="D22" t="s">
        <v>33</v>
      </c>
      <c r="E22" t="s">
        <v>34</v>
      </c>
      <c r="F22">
        <v>59647.28</v>
      </c>
      <c r="G22">
        <v>0</v>
      </c>
      <c r="H22">
        <v>47348</v>
      </c>
      <c r="I22">
        <v>106995.28</v>
      </c>
      <c r="J22">
        <v>179143.44</v>
      </c>
      <c r="K22">
        <v>0.674311614493649</v>
      </c>
    </row>
    <row r="23" spans="1:11">
      <c r="A23">
        <v>2022</v>
      </c>
      <c r="B23">
        <v>3</v>
      </c>
      <c r="C23" t="s">
        <v>30</v>
      </c>
      <c r="D23" t="s">
        <v>33</v>
      </c>
      <c r="E23" t="s">
        <v>34</v>
      </c>
      <c r="F23">
        <v>54247.98</v>
      </c>
      <c r="G23">
        <v>0</v>
      </c>
      <c r="H23">
        <v>46266</v>
      </c>
      <c r="I23">
        <v>100513.98</v>
      </c>
      <c r="J23">
        <v>168555.28</v>
      </c>
      <c r="K23">
        <v>0.676933696188331</v>
      </c>
    </row>
    <row r="24" spans="1:11">
      <c r="A24">
        <v>2022</v>
      </c>
      <c r="B24">
        <v>2</v>
      </c>
      <c r="C24" t="s">
        <v>30</v>
      </c>
      <c r="D24" t="s">
        <v>33</v>
      </c>
      <c r="E24" t="s">
        <v>34</v>
      </c>
      <c r="F24">
        <v>60783.79</v>
      </c>
      <c r="G24">
        <v>0</v>
      </c>
      <c r="H24">
        <v>46381</v>
      </c>
      <c r="I24">
        <v>107164.79</v>
      </c>
      <c r="J24">
        <v>162941.76</v>
      </c>
      <c r="K24">
        <v>0.520478507912907</v>
      </c>
    </row>
    <row r="25" spans="1:11">
      <c r="A25">
        <v>2022</v>
      </c>
      <c r="B25">
        <v>1</v>
      </c>
      <c r="C25" t="s">
        <v>30</v>
      </c>
      <c r="D25" t="s">
        <v>33</v>
      </c>
      <c r="E25" t="s">
        <v>34</v>
      </c>
      <c r="F25">
        <v>44407.44</v>
      </c>
      <c r="G25">
        <v>0</v>
      </c>
      <c r="H25">
        <v>34379.35</v>
      </c>
      <c r="I25">
        <v>78786.79</v>
      </c>
      <c r="J25">
        <v>151172.11</v>
      </c>
      <c r="K25">
        <v>0.918749450256826</v>
      </c>
    </row>
    <row r="26" spans="1:11">
      <c r="A26">
        <v>2022</v>
      </c>
      <c r="B26">
        <v>12</v>
      </c>
      <c r="C26" t="s">
        <v>30</v>
      </c>
      <c r="D26" t="s">
        <v>33</v>
      </c>
      <c r="E26" t="s">
        <v>35</v>
      </c>
      <c r="F26">
        <v>101956</v>
      </c>
      <c r="G26">
        <v>11720</v>
      </c>
      <c r="H26">
        <v>148104.17</v>
      </c>
      <c r="I26">
        <v>261780.17</v>
      </c>
      <c r="J26">
        <v>310301</v>
      </c>
      <c r="K26">
        <v>0.185349524373829</v>
      </c>
    </row>
    <row r="27" spans="1:11">
      <c r="A27">
        <v>2022</v>
      </c>
      <c r="B27">
        <v>11</v>
      </c>
      <c r="C27" t="s">
        <v>30</v>
      </c>
      <c r="D27" t="s">
        <v>33</v>
      </c>
      <c r="E27" t="s">
        <v>35</v>
      </c>
      <c r="F27">
        <v>112848</v>
      </c>
      <c r="G27">
        <v>1424</v>
      </c>
      <c r="H27">
        <v>171132.14</v>
      </c>
      <c r="I27">
        <v>285404.14</v>
      </c>
      <c r="J27">
        <v>226338</v>
      </c>
      <c r="K27">
        <v>-0.206956142962748</v>
      </c>
    </row>
    <row r="28" spans="1:11">
      <c r="A28">
        <v>2022</v>
      </c>
      <c r="B28">
        <v>10</v>
      </c>
      <c r="C28" t="s">
        <v>30</v>
      </c>
      <c r="D28" t="s">
        <v>33</v>
      </c>
      <c r="E28" t="s">
        <v>35</v>
      </c>
      <c r="F28">
        <v>105428</v>
      </c>
      <c r="G28">
        <v>10000</v>
      </c>
      <c r="H28">
        <v>189045.37</v>
      </c>
      <c r="I28">
        <v>304473.37</v>
      </c>
      <c r="J28">
        <v>219653</v>
      </c>
      <c r="K28">
        <v>-0.278580586538652</v>
      </c>
    </row>
    <row r="29" spans="1:11">
      <c r="A29">
        <v>2022</v>
      </c>
      <c r="B29">
        <v>9</v>
      </c>
      <c r="C29" t="s">
        <v>30</v>
      </c>
      <c r="D29" t="s">
        <v>33</v>
      </c>
      <c r="E29" t="s">
        <v>35</v>
      </c>
      <c r="F29">
        <v>108712</v>
      </c>
      <c r="H29">
        <v>189101.94</v>
      </c>
      <c r="I29">
        <v>297813.94</v>
      </c>
      <c r="J29">
        <v>239999.26</v>
      </c>
      <c r="K29">
        <v>-0.194130200889858</v>
      </c>
    </row>
    <row r="30" spans="1:11">
      <c r="A30">
        <v>2022</v>
      </c>
      <c r="B30">
        <v>8</v>
      </c>
      <c r="C30" t="s">
        <v>30</v>
      </c>
      <c r="D30" t="s">
        <v>33</v>
      </c>
      <c r="E30" t="s">
        <v>35</v>
      </c>
      <c r="F30">
        <v>95972</v>
      </c>
      <c r="H30">
        <v>56406.04</v>
      </c>
      <c r="I30">
        <v>152378.04</v>
      </c>
      <c r="J30">
        <v>251789.34</v>
      </c>
      <c r="K30">
        <v>0.652399125228281</v>
      </c>
    </row>
    <row r="31" spans="1:11">
      <c r="A31">
        <v>2022</v>
      </c>
      <c r="B31">
        <v>7</v>
      </c>
      <c r="C31" t="s">
        <v>30</v>
      </c>
      <c r="D31" t="s">
        <v>33</v>
      </c>
      <c r="E31" t="s">
        <v>35</v>
      </c>
      <c r="F31">
        <v>83576</v>
      </c>
      <c r="G31">
        <v>10000</v>
      </c>
      <c r="H31">
        <v>-5440.21</v>
      </c>
      <c r="I31">
        <v>88135.79</v>
      </c>
      <c r="J31">
        <v>201403.34</v>
      </c>
      <c r="K31">
        <v>1.28514817873647</v>
      </c>
    </row>
    <row r="32" spans="1:11">
      <c r="A32">
        <v>2022</v>
      </c>
      <c r="B32">
        <v>6</v>
      </c>
      <c r="C32" t="s">
        <v>30</v>
      </c>
      <c r="D32" t="s">
        <v>33</v>
      </c>
      <c r="E32" t="s">
        <v>35</v>
      </c>
      <c r="F32">
        <v>130324</v>
      </c>
      <c r="G32">
        <v>10000</v>
      </c>
      <c r="H32">
        <v>117200</v>
      </c>
      <c r="I32">
        <v>257524</v>
      </c>
      <c r="J32">
        <v>302454.34</v>
      </c>
      <c r="K32">
        <v>0.174470495953775</v>
      </c>
    </row>
    <row r="33" spans="1:11">
      <c r="A33">
        <v>2022</v>
      </c>
      <c r="B33">
        <v>5</v>
      </c>
      <c r="C33" t="s">
        <v>30</v>
      </c>
      <c r="D33" t="s">
        <v>33</v>
      </c>
      <c r="E33" t="s">
        <v>35</v>
      </c>
      <c r="F33">
        <v>90992</v>
      </c>
      <c r="G33">
        <v>300</v>
      </c>
      <c r="H33">
        <v>119000</v>
      </c>
      <c r="I33">
        <v>210292</v>
      </c>
      <c r="J33">
        <v>286265.34</v>
      </c>
      <c r="K33">
        <v>0.361275464592091</v>
      </c>
    </row>
    <row r="34" spans="1:11">
      <c r="A34">
        <v>2022</v>
      </c>
      <c r="B34">
        <v>4</v>
      </c>
      <c r="C34" t="s">
        <v>30</v>
      </c>
      <c r="D34" t="s">
        <v>33</v>
      </c>
      <c r="E34" t="s">
        <v>35</v>
      </c>
      <c r="F34">
        <v>95148</v>
      </c>
      <c r="H34">
        <v>141950</v>
      </c>
      <c r="I34">
        <v>237098</v>
      </c>
      <c r="J34">
        <v>279665.34</v>
      </c>
      <c r="K34">
        <v>0.179534791520806</v>
      </c>
    </row>
    <row r="35" spans="1:11">
      <c r="A35">
        <v>2022</v>
      </c>
      <c r="B35">
        <v>3</v>
      </c>
      <c r="C35" t="s">
        <v>30</v>
      </c>
      <c r="D35" t="s">
        <v>33</v>
      </c>
      <c r="E35" t="s">
        <v>35</v>
      </c>
      <c r="F35">
        <v>120392</v>
      </c>
      <c r="G35">
        <v>1524</v>
      </c>
      <c r="H35">
        <v>258100</v>
      </c>
      <c r="I35">
        <v>380016</v>
      </c>
      <c r="J35">
        <v>284264.34</v>
      </c>
      <c r="K35">
        <v>-0.251967443476064</v>
      </c>
    </row>
    <row r="36" spans="1:11">
      <c r="A36">
        <v>2022</v>
      </c>
      <c r="B36">
        <v>2</v>
      </c>
      <c r="C36" t="s">
        <v>30</v>
      </c>
      <c r="D36" t="s">
        <v>33</v>
      </c>
      <c r="E36" t="s">
        <v>35</v>
      </c>
      <c r="F36">
        <v>163640</v>
      </c>
      <c r="G36">
        <v>21048</v>
      </c>
      <c r="H36">
        <v>224900</v>
      </c>
      <c r="I36">
        <v>409588</v>
      </c>
      <c r="J36">
        <v>307473.65</v>
      </c>
      <c r="K36">
        <v>-0.249309916306142</v>
      </c>
    </row>
    <row r="37" spans="1:11">
      <c r="A37">
        <v>2022</v>
      </c>
      <c r="B37">
        <v>1</v>
      </c>
      <c r="C37" t="s">
        <v>30</v>
      </c>
      <c r="D37" t="s">
        <v>33</v>
      </c>
      <c r="E37" t="s">
        <v>35</v>
      </c>
      <c r="F37">
        <v>115976</v>
      </c>
      <c r="G37">
        <v>10000</v>
      </c>
      <c r="H37">
        <v>217550</v>
      </c>
      <c r="I37">
        <v>343526</v>
      </c>
      <c r="J37">
        <v>204627.68</v>
      </c>
      <c r="K37">
        <v>-0.404331316989107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workbookViewId="0">
      <selection activeCell="M36" sqref="M36"/>
    </sheetView>
  </sheetViews>
  <sheetFormatPr defaultColWidth="9" defaultRowHeight="14.25"/>
  <cols>
    <col min="3" max="4" width="10.25" customWidth="1"/>
    <col min="6" max="6" width="10.25" customWidth="1"/>
    <col min="7" max="7" width="12.125" customWidth="1"/>
    <col min="8" max="8" width="10.25" customWidth="1"/>
    <col min="10" max="10" width="12.125" customWidth="1"/>
  </cols>
  <sheetData>
    <row r="1" spans="1:11">
      <c r="A1" t="s">
        <v>0</v>
      </c>
      <c r="B1" t="s">
        <v>1</v>
      </c>
      <c r="C1" t="s">
        <v>24</v>
      </c>
      <c r="D1" t="s">
        <v>25</v>
      </c>
      <c r="E1" t="s">
        <v>2</v>
      </c>
      <c r="F1" t="s">
        <v>3</v>
      </c>
      <c r="G1" t="s">
        <v>26</v>
      </c>
      <c r="H1" t="s">
        <v>27</v>
      </c>
      <c r="I1" t="s">
        <v>4</v>
      </c>
      <c r="J1" t="s">
        <v>28</v>
      </c>
      <c r="K1" t="s">
        <v>29</v>
      </c>
    </row>
    <row r="2" spans="1:11">
      <c r="A2">
        <v>2022</v>
      </c>
      <c r="B2">
        <v>12</v>
      </c>
      <c r="C2" t="s">
        <v>30</v>
      </c>
      <c r="D2" t="s">
        <v>31</v>
      </c>
      <c r="E2" t="s">
        <v>32</v>
      </c>
      <c r="F2">
        <v>82935</v>
      </c>
      <c r="H2">
        <v>164395.47</v>
      </c>
      <c r="I2">
        <v>247330.47</v>
      </c>
      <c r="J2">
        <v>242323.4</v>
      </c>
      <c r="K2">
        <v>-0.0202444526952138</v>
      </c>
    </row>
    <row r="3" spans="1:11">
      <c r="A3">
        <v>2022</v>
      </c>
      <c r="B3">
        <v>11</v>
      </c>
      <c r="C3" t="s">
        <v>30</v>
      </c>
      <c r="D3" t="s">
        <v>31</v>
      </c>
      <c r="E3" t="s">
        <v>32</v>
      </c>
      <c r="F3">
        <v>82975</v>
      </c>
      <c r="G3">
        <v>200</v>
      </c>
      <c r="H3">
        <v>135332.51</v>
      </c>
      <c r="I3">
        <v>218507.51</v>
      </c>
      <c r="J3">
        <v>212083.3</v>
      </c>
      <c r="K3">
        <v>-0.0294004082514144</v>
      </c>
    </row>
    <row r="4" spans="1:11">
      <c r="A4">
        <v>2022</v>
      </c>
      <c r="B4">
        <v>10</v>
      </c>
      <c r="C4" t="s">
        <v>30</v>
      </c>
      <c r="D4" t="s">
        <v>31</v>
      </c>
      <c r="E4" t="s">
        <v>32</v>
      </c>
      <c r="F4">
        <v>74825</v>
      </c>
      <c r="G4">
        <v>0</v>
      </c>
      <c r="H4">
        <v>128853.74</v>
      </c>
      <c r="I4">
        <v>203678.74</v>
      </c>
      <c r="J4">
        <v>216218.3</v>
      </c>
      <c r="K4">
        <v>0.0615653847819364</v>
      </c>
    </row>
    <row r="5" spans="1:11">
      <c r="A5">
        <v>2022</v>
      </c>
      <c r="B5">
        <v>9</v>
      </c>
      <c r="C5" t="s">
        <v>30</v>
      </c>
      <c r="D5" t="s">
        <v>31</v>
      </c>
      <c r="E5" t="s">
        <v>32</v>
      </c>
      <c r="F5">
        <v>88995</v>
      </c>
      <c r="G5">
        <v>500</v>
      </c>
      <c r="H5">
        <v>134256.23</v>
      </c>
      <c r="I5">
        <v>223751.23</v>
      </c>
      <c r="J5">
        <v>217860</v>
      </c>
      <c r="K5">
        <v>-0.0263293748150569</v>
      </c>
    </row>
    <row r="6" spans="1:11">
      <c r="A6">
        <v>2022</v>
      </c>
      <c r="B6">
        <v>8</v>
      </c>
      <c r="C6" t="s">
        <v>30</v>
      </c>
      <c r="D6" t="s">
        <v>31</v>
      </c>
      <c r="E6" t="s">
        <v>32</v>
      </c>
      <c r="F6">
        <v>97155</v>
      </c>
      <c r="G6">
        <v>1000</v>
      </c>
      <c r="H6">
        <v>97297.51</v>
      </c>
      <c r="I6">
        <v>195452.51</v>
      </c>
      <c r="J6">
        <v>222631</v>
      </c>
      <c r="K6">
        <v>0.139054187638726</v>
      </c>
    </row>
    <row r="7" spans="1:11">
      <c r="A7">
        <v>2022</v>
      </c>
      <c r="B7">
        <v>7</v>
      </c>
      <c r="C7" t="s">
        <v>30</v>
      </c>
      <c r="D7" t="s">
        <v>31</v>
      </c>
      <c r="E7" t="s">
        <v>32</v>
      </c>
      <c r="F7">
        <v>68990</v>
      </c>
      <c r="G7">
        <v>650</v>
      </c>
      <c r="H7">
        <v>92502.61</v>
      </c>
      <c r="I7">
        <v>162142.61</v>
      </c>
      <c r="J7">
        <v>179085</v>
      </c>
      <c r="K7">
        <v>0.104490670280934</v>
      </c>
    </row>
    <row r="8" spans="1:11">
      <c r="A8">
        <v>2022</v>
      </c>
      <c r="B8">
        <v>6</v>
      </c>
      <c r="C8" t="s">
        <v>30</v>
      </c>
      <c r="D8" t="s">
        <v>31</v>
      </c>
      <c r="E8" t="s">
        <v>32</v>
      </c>
      <c r="F8">
        <v>101170</v>
      </c>
      <c r="G8">
        <v>0</v>
      </c>
      <c r="H8">
        <v>154416</v>
      </c>
      <c r="I8">
        <v>255586</v>
      </c>
      <c r="J8">
        <v>235492.66</v>
      </c>
      <c r="K8">
        <v>-0.0786167473961797</v>
      </c>
    </row>
    <row r="9" spans="1:11">
      <c r="A9">
        <v>2022</v>
      </c>
      <c r="B9">
        <v>5</v>
      </c>
      <c r="C9" t="s">
        <v>30</v>
      </c>
      <c r="D9" t="s">
        <v>31</v>
      </c>
      <c r="E9" t="s">
        <v>32</v>
      </c>
      <c r="F9">
        <v>79775</v>
      </c>
      <c r="G9">
        <v>0</v>
      </c>
      <c r="H9">
        <v>134776</v>
      </c>
      <c r="I9">
        <v>214551</v>
      </c>
      <c r="J9">
        <v>187902.67</v>
      </c>
      <c r="K9">
        <v>-0.124205107410359</v>
      </c>
    </row>
    <row r="10" spans="1:11">
      <c r="A10">
        <v>2022</v>
      </c>
      <c r="B10">
        <v>4</v>
      </c>
      <c r="C10" t="s">
        <v>30</v>
      </c>
      <c r="D10" t="s">
        <v>31</v>
      </c>
      <c r="E10" t="s">
        <v>32</v>
      </c>
      <c r="F10">
        <v>91540</v>
      </c>
      <c r="G10">
        <v>750</v>
      </c>
      <c r="H10">
        <v>134766</v>
      </c>
      <c r="I10">
        <v>227056</v>
      </c>
      <c r="J10">
        <v>199277.67</v>
      </c>
      <c r="K10">
        <v>-0.122341316679586</v>
      </c>
    </row>
    <row r="11" spans="1:11">
      <c r="A11">
        <v>2022</v>
      </c>
      <c r="B11">
        <v>3</v>
      </c>
      <c r="C11" t="s">
        <v>30</v>
      </c>
      <c r="D11" t="s">
        <v>31</v>
      </c>
      <c r="E11" t="s">
        <v>32</v>
      </c>
      <c r="F11">
        <v>77260</v>
      </c>
      <c r="G11">
        <v>0</v>
      </c>
      <c r="H11">
        <v>137046</v>
      </c>
      <c r="I11">
        <v>214306</v>
      </c>
      <c r="J11">
        <v>186397</v>
      </c>
      <c r="K11">
        <v>-0.130229671591089</v>
      </c>
    </row>
    <row r="12" spans="1:11">
      <c r="A12">
        <v>2022</v>
      </c>
      <c r="B12">
        <v>2</v>
      </c>
      <c r="C12" t="s">
        <v>30</v>
      </c>
      <c r="D12" t="s">
        <v>31</v>
      </c>
      <c r="E12" t="s">
        <v>32</v>
      </c>
      <c r="F12">
        <v>70545</v>
      </c>
      <c r="G12">
        <v>0</v>
      </c>
      <c r="H12">
        <v>134926</v>
      </c>
      <c r="I12">
        <v>205471</v>
      </c>
      <c r="J12">
        <v>155552</v>
      </c>
      <c r="K12">
        <v>-0.242949126640743</v>
      </c>
    </row>
    <row r="13" spans="1:11">
      <c r="A13">
        <v>2022</v>
      </c>
      <c r="B13">
        <v>1</v>
      </c>
      <c r="C13" t="s">
        <v>30</v>
      </c>
      <c r="D13" t="s">
        <v>31</v>
      </c>
      <c r="E13" t="s">
        <v>32</v>
      </c>
      <c r="F13">
        <v>53810</v>
      </c>
      <c r="G13">
        <v>0</v>
      </c>
      <c r="H13">
        <v>89420</v>
      </c>
      <c r="I13">
        <v>143230</v>
      </c>
      <c r="J13">
        <v>154156</v>
      </c>
      <c r="K13">
        <v>0.0762829016267541</v>
      </c>
    </row>
    <row r="14" spans="1:11">
      <c r="A14">
        <v>2022</v>
      </c>
      <c r="B14">
        <v>12</v>
      </c>
      <c r="C14" t="s">
        <v>30</v>
      </c>
      <c r="D14" t="s">
        <v>33</v>
      </c>
      <c r="E14" t="s">
        <v>34</v>
      </c>
      <c r="F14">
        <v>67461.35</v>
      </c>
      <c r="G14">
        <v>0</v>
      </c>
      <c r="H14">
        <v>53755.22</v>
      </c>
      <c r="I14">
        <v>121216.57</v>
      </c>
      <c r="J14">
        <v>121055.8</v>
      </c>
      <c r="K14">
        <v>-0.00132630382133403</v>
      </c>
    </row>
    <row r="15" spans="1:11">
      <c r="A15">
        <v>2022</v>
      </c>
      <c r="B15">
        <v>11</v>
      </c>
      <c r="C15" t="s">
        <v>30</v>
      </c>
      <c r="D15" t="s">
        <v>33</v>
      </c>
      <c r="E15" t="s">
        <v>34</v>
      </c>
      <c r="F15">
        <v>66506.25</v>
      </c>
      <c r="G15">
        <v>0</v>
      </c>
      <c r="H15">
        <v>45536.54</v>
      </c>
      <c r="I15">
        <v>112042.79</v>
      </c>
      <c r="J15">
        <v>96271.57</v>
      </c>
      <c r="K15">
        <v>-0.140760686162849</v>
      </c>
    </row>
    <row r="16" spans="1:11">
      <c r="A16">
        <v>2022</v>
      </c>
      <c r="B16">
        <v>10</v>
      </c>
      <c r="C16" t="s">
        <v>30</v>
      </c>
      <c r="D16" t="s">
        <v>33</v>
      </c>
      <c r="E16" t="s">
        <v>34</v>
      </c>
      <c r="F16">
        <v>61683.86</v>
      </c>
      <c r="G16">
        <v>0</v>
      </c>
      <c r="H16">
        <v>46121.96</v>
      </c>
      <c r="I16">
        <v>107805.82</v>
      </c>
      <c r="J16">
        <v>97952.47</v>
      </c>
      <c r="K16">
        <v>-0.0913990543367696</v>
      </c>
    </row>
    <row r="17" spans="1:11">
      <c r="A17">
        <v>2022</v>
      </c>
      <c r="B17">
        <v>9</v>
      </c>
      <c r="C17" t="s">
        <v>30</v>
      </c>
      <c r="D17" t="s">
        <v>33</v>
      </c>
      <c r="E17" t="s">
        <v>34</v>
      </c>
      <c r="F17">
        <v>61977.84</v>
      </c>
      <c r="G17">
        <v>0</v>
      </c>
      <c r="H17">
        <v>51813.35</v>
      </c>
      <c r="I17">
        <v>113791.19</v>
      </c>
      <c r="J17">
        <v>111094.59</v>
      </c>
      <c r="K17">
        <v>-0.0236977924213642</v>
      </c>
    </row>
    <row r="18" spans="1:11">
      <c r="A18">
        <v>2022</v>
      </c>
      <c r="B18">
        <v>8</v>
      </c>
      <c r="C18" t="s">
        <v>30</v>
      </c>
      <c r="D18" t="s">
        <v>33</v>
      </c>
      <c r="E18" t="s">
        <v>34</v>
      </c>
      <c r="F18">
        <v>70057.57</v>
      </c>
      <c r="G18">
        <v>0</v>
      </c>
      <c r="H18">
        <v>51576.0700000002</v>
      </c>
      <c r="I18">
        <v>121633.64</v>
      </c>
      <c r="J18">
        <v>119895.23</v>
      </c>
      <c r="K18">
        <v>-0.014292181011768</v>
      </c>
    </row>
    <row r="19" spans="1:11">
      <c r="A19">
        <v>2022</v>
      </c>
      <c r="B19">
        <v>7</v>
      </c>
      <c r="C19" t="s">
        <v>30</v>
      </c>
      <c r="D19" t="s">
        <v>33</v>
      </c>
      <c r="E19" t="s">
        <v>34</v>
      </c>
      <c r="F19">
        <v>58195.01</v>
      </c>
      <c r="G19">
        <v>0</v>
      </c>
      <c r="H19">
        <v>-2127.92</v>
      </c>
      <c r="I19">
        <v>56067.09</v>
      </c>
      <c r="J19">
        <v>96076.45</v>
      </c>
      <c r="K19">
        <v>0.713597941323511</v>
      </c>
    </row>
    <row r="20" spans="1:11">
      <c r="A20">
        <v>2022</v>
      </c>
      <c r="B20">
        <v>6</v>
      </c>
      <c r="C20" t="s">
        <v>30</v>
      </c>
      <c r="D20" t="s">
        <v>33</v>
      </c>
      <c r="E20" t="s">
        <v>34</v>
      </c>
      <c r="F20">
        <v>75321.21</v>
      </c>
      <c r="G20">
        <v>0</v>
      </c>
      <c r="H20">
        <v>61035</v>
      </c>
      <c r="I20">
        <v>136356.21</v>
      </c>
      <c r="J20">
        <v>156385.85</v>
      </c>
      <c r="K20">
        <v>0.146892026406425</v>
      </c>
    </row>
    <row r="21" spans="1:11">
      <c r="A21">
        <v>2022</v>
      </c>
      <c r="B21">
        <v>5</v>
      </c>
      <c r="C21" t="s">
        <v>30</v>
      </c>
      <c r="D21" t="s">
        <v>33</v>
      </c>
      <c r="E21" t="s">
        <v>34</v>
      </c>
      <c r="F21">
        <v>61188.01</v>
      </c>
      <c r="G21">
        <v>0</v>
      </c>
      <c r="H21">
        <v>57422</v>
      </c>
      <c r="I21">
        <v>118610.01</v>
      </c>
      <c r="J21">
        <v>170543.43</v>
      </c>
      <c r="K21">
        <v>0.437850228661139</v>
      </c>
    </row>
    <row r="22" spans="1:11">
      <c r="A22">
        <v>2022</v>
      </c>
      <c r="B22">
        <v>4</v>
      </c>
      <c r="C22" t="s">
        <v>30</v>
      </c>
      <c r="D22" t="s">
        <v>33</v>
      </c>
      <c r="E22" t="s">
        <v>34</v>
      </c>
      <c r="F22">
        <v>59647.28</v>
      </c>
      <c r="G22">
        <v>0</v>
      </c>
      <c r="H22">
        <v>47348</v>
      </c>
      <c r="I22">
        <v>106995.28</v>
      </c>
      <c r="J22">
        <v>179143.44</v>
      </c>
      <c r="K22">
        <v>0.674311614493649</v>
      </c>
    </row>
    <row r="23" spans="1:11">
      <c r="A23">
        <v>2022</v>
      </c>
      <c r="B23">
        <v>3</v>
      </c>
      <c r="C23" t="s">
        <v>30</v>
      </c>
      <c r="D23" t="s">
        <v>33</v>
      </c>
      <c r="E23" t="s">
        <v>34</v>
      </c>
      <c r="F23">
        <v>54247.98</v>
      </c>
      <c r="G23">
        <v>0</v>
      </c>
      <c r="H23">
        <v>46266</v>
      </c>
      <c r="I23">
        <v>100513.98</v>
      </c>
      <c r="J23">
        <v>168555.28</v>
      </c>
      <c r="K23">
        <v>0.676933696188331</v>
      </c>
    </row>
    <row r="24" spans="1:11">
      <c r="A24">
        <v>2022</v>
      </c>
      <c r="B24">
        <v>2</v>
      </c>
      <c r="C24" t="s">
        <v>30</v>
      </c>
      <c r="D24" t="s">
        <v>33</v>
      </c>
      <c r="E24" t="s">
        <v>34</v>
      </c>
      <c r="F24">
        <v>60783.79</v>
      </c>
      <c r="G24">
        <v>0</v>
      </c>
      <c r="H24">
        <v>46381</v>
      </c>
      <c r="I24">
        <v>107164.79</v>
      </c>
      <c r="J24">
        <v>162941.76</v>
      </c>
      <c r="K24">
        <v>0.520478507912907</v>
      </c>
    </row>
    <row r="25" spans="1:11">
      <c r="A25">
        <v>2022</v>
      </c>
      <c r="B25">
        <v>1</v>
      </c>
      <c r="C25" t="s">
        <v>30</v>
      </c>
      <c r="D25" t="s">
        <v>33</v>
      </c>
      <c r="E25" t="s">
        <v>34</v>
      </c>
      <c r="F25">
        <v>44407.44</v>
      </c>
      <c r="G25">
        <v>0</v>
      </c>
      <c r="H25">
        <v>34379.35</v>
      </c>
      <c r="I25">
        <v>78786.79</v>
      </c>
      <c r="J25">
        <v>151172.11</v>
      </c>
      <c r="K25">
        <v>0.918749450256826</v>
      </c>
    </row>
    <row r="26" spans="1:11">
      <c r="A26">
        <v>2022</v>
      </c>
      <c r="B26">
        <v>12</v>
      </c>
      <c r="C26" t="s">
        <v>30</v>
      </c>
      <c r="D26" t="s">
        <v>33</v>
      </c>
      <c r="E26" t="s">
        <v>35</v>
      </c>
      <c r="F26">
        <v>101956</v>
      </c>
      <c r="G26">
        <v>11720</v>
      </c>
      <c r="H26">
        <v>148104.17</v>
      </c>
      <c r="I26">
        <v>261780.17</v>
      </c>
      <c r="J26">
        <v>310301</v>
      </c>
      <c r="K26">
        <v>0.185349524373829</v>
      </c>
    </row>
    <row r="27" spans="1:11">
      <c r="A27">
        <v>2022</v>
      </c>
      <c r="B27">
        <v>11</v>
      </c>
      <c r="C27" t="s">
        <v>30</v>
      </c>
      <c r="D27" t="s">
        <v>33</v>
      </c>
      <c r="E27" t="s">
        <v>35</v>
      </c>
      <c r="F27">
        <v>112848</v>
      </c>
      <c r="G27">
        <v>1424</v>
      </c>
      <c r="H27">
        <v>171132.14</v>
      </c>
      <c r="I27">
        <v>285404.14</v>
      </c>
      <c r="J27">
        <v>226338</v>
      </c>
      <c r="K27">
        <v>-0.206956142962748</v>
      </c>
    </row>
    <row r="28" spans="1:11">
      <c r="A28">
        <v>2022</v>
      </c>
      <c r="B28">
        <v>10</v>
      </c>
      <c r="C28" t="s">
        <v>30</v>
      </c>
      <c r="D28" t="s">
        <v>33</v>
      </c>
      <c r="E28" t="s">
        <v>35</v>
      </c>
      <c r="F28">
        <v>105428</v>
      </c>
      <c r="G28">
        <v>10000</v>
      </c>
      <c r="H28">
        <v>189045.37</v>
      </c>
      <c r="I28">
        <v>304473.37</v>
      </c>
      <c r="J28">
        <v>219653</v>
      </c>
      <c r="K28">
        <v>-0.278580586538652</v>
      </c>
    </row>
    <row r="29" spans="1:11">
      <c r="A29">
        <v>2022</v>
      </c>
      <c r="B29">
        <v>9</v>
      </c>
      <c r="C29" t="s">
        <v>30</v>
      </c>
      <c r="D29" t="s">
        <v>33</v>
      </c>
      <c r="E29" t="s">
        <v>35</v>
      </c>
      <c r="F29">
        <v>108712</v>
      </c>
      <c r="H29">
        <v>189101.94</v>
      </c>
      <c r="I29">
        <v>297813.94</v>
      </c>
      <c r="J29">
        <v>239999.26</v>
      </c>
      <c r="K29">
        <v>-0.194130200889858</v>
      </c>
    </row>
    <row r="30" spans="1:11">
      <c r="A30">
        <v>2022</v>
      </c>
      <c r="B30">
        <v>8</v>
      </c>
      <c r="C30" t="s">
        <v>30</v>
      </c>
      <c r="D30" t="s">
        <v>33</v>
      </c>
      <c r="E30" t="s">
        <v>35</v>
      </c>
      <c r="F30">
        <v>95972</v>
      </c>
      <c r="H30">
        <v>56406.04</v>
      </c>
      <c r="I30">
        <v>152378.04</v>
      </c>
      <c r="J30">
        <v>251789.34</v>
      </c>
      <c r="K30">
        <v>0.652399125228281</v>
      </c>
    </row>
    <row r="31" spans="1:11">
      <c r="A31">
        <v>2022</v>
      </c>
      <c r="B31">
        <v>7</v>
      </c>
      <c r="C31" t="s">
        <v>30</v>
      </c>
      <c r="D31" t="s">
        <v>33</v>
      </c>
      <c r="E31" t="s">
        <v>35</v>
      </c>
      <c r="F31">
        <v>83576</v>
      </c>
      <c r="G31">
        <v>10000</v>
      </c>
      <c r="H31">
        <v>-5440.21</v>
      </c>
      <c r="I31">
        <v>88135.79</v>
      </c>
      <c r="J31">
        <v>201403.34</v>
      </c>
      <c r="K31">
        <v>1.28514817873647</v>
      </c>
    </row>
    <row r="32" spans="1:11">
      <c r="A32">
        <v>2022</v>
      </c>
      <c r="B32">
        <v>6</v>
      </c>
      <c r="C32" t="s">
        <v>30</v>
      </c>
      <c r="D32" t="s">
        <v>33</v>
      </c>
      <c r="E32" t="s">
        <v>35</v>
      </c>
      <c r="F32">
        <v>130324</v>
      </c>
      <c r="G32">
        <v>10000</v>
      </c>
      <c r="H32">
        <v>117200</v>
      </c>
      <c r="I32">
        <v>257524</v>
      </c>
      <c r="J32">
        <v>302454.34</v>
      </c>
      <c r="K32">
        <v>0.174470495953775</v>
      </c>
    </row>
    <row r="33" spans="1:11">
      <c r="A33">
        <v>2022</v>
      </c>
      <c r="B33">
        <v>5</v>
      </c>
      <c r="C33" t="s">
        <v>30</v>
      </c>
      <c r="D33" t="s">
        <v>33</v>
      </c>
      <c r="E33" t="s">
        <v>35</v>
      </c>
      <c r="F33">
        <v>90992</v>
      </c>
      <c r="G33">
        <v>300</v>
      </c>
      <c r="H33">
        <v>119000</v>
      </c>
      <c r="I33">
        <v>210292</v>
      </c>
      <c r="J33">
        <v>286265.34</v>
      </c>
      <c r="K33">
        <v>0.361275464592091</v>
      </c>
    </row>
    <row r="34" spans="1:11">
      <c r="A34">
        <v>2022</v>
      </c>
      <c r="B34">
        <v>4</v>
      </c>
      <c r="C34" t="s">
        <v>30</v>
      </c>
      <c r="D34" t="s">
        <v>33</v>
      </c>
      <c r="E34" t="s">
        <v>35</v>
      </c>
      <c r="F34">
        <v>95148</v>
      </c>
      <c r="H34">
        <v>141950</v>
      </c>
      <c r="I34">
        <v>237098</v>
      </c>
      <c r="J34">
        <v>279665.34</v>
      </c>
      <c r="K34">
        <v>0.179534791520806</v>
      </c>
    </row>
    <row r="35" spans="1:11">
      <c r="A35">
        <v>2022</v>
      </c>
      <c r="B35">
        <v>3</v>
      </c>
      <c r="C35" t="s">
        <v>30</v>
      </c>
      <c r="D35" t="s">
        <v>33</v>
      </c>
      <c r="E35" t="s">
        <v>35</v>
      </c>
      <c r="F35">
        <v>120392</v>
      </c>
      <c r="G35">
        <v>1524</v>
      </c>
      <c r="H35">
        <v>258100</v>
      </c>
      <c r="I35">
        <v>380016</v>
      </c>
      <c r="J35">
        <v>284264.34</v>
      </c>
      <c r="K35">
        <v>-0.251967443476064</v>
      </c>
    </row>
    <row r="36" spans="1:11">
      <c r="A36">
        <v>2022</v>
      </c>
      <c r="B36">
        <v>2</v>
      </c>
      <c r="C36" t="s">
        <v>30</v>
      </c>
      <c r="D36" t="s">
        <v>33</v>
      </c>
      <c r="E36" t="s">
        <v>35</v>
      </c>
      <c r="F36">
        <v>163640</v>
      </c>
      <c r="G36">
        <v>21048</v>
      </c>
      <c r="H36">
        <v>224900</v>
      </c>
      <c r="I36">
        <v>409588</v>
      </c>
      <c r="J36">
        <v>307473.65</v>
      </c>
      <c r="K36">
        <v>-0.249309916306142</v>
      </c>
    </row>
    <row r="37" spans="1:11">
      <c r="A37">
        <v>2022</v>
      </c>
      <c r="B37">
        <v>1</v>
      </c>
      <c r="C37" t="s">
        <v>30</v>
      </c>
      <c r="D37" t="s">
        <v>33</v>
      </c>
      <c r="E37" t="s">
        <v>35</v>
      </c>
      <c r="F37">
        <v>115976</v>
      </c>
      <c r="G37">
        <v>10000</v>
      </c>
      <c r="H37">
        <v>217550</v>
      </c>
      <c r="I37">
        <v>343526</v>
      </c>
      <c r="J37">
        <v>204627.68</v>
      </c>
      <c r="K37">
        <v>-0.404331316989107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workbookViewId="0">
      <selection activeCell="A1" sqref="A1:K37"/>
    </sheetView>
  </sheetViews>
  <sheetFormatPr defaultColWidth="9" defaultRowHeight="14.25"/>
  <cols>
    <col min="3" max="4" width="10.25" customWidth="1"/>
    <col min="6" max="6" width="10.25" customWidth="1"/>
    <col min="7" max="7" width="12.125" customWidth="1"/>
    <col min="8" max="8" width="10.25" customWidth="1"/>
    <col min="10" max="10" width="12.125" customWidth="1"/>
  </cols>
  <sheetData>
    <row r="1" spans="1:11">
      <c r="A1" t="s">
        <v>0</v>
      </c>
      <c r="B1" t="s">
        <v>1</v>
      </c>
      <c r="C1" t="s">
        <v>24</v>
      </c>
      <c r="D1" t="s">
        <v>25</v>
      </c>
      <c r="E1" t="s">
        <v>2</v>
      </c>
      <c r="F1" t="s">
        <v>3</v>
      </c>
      <c r="G1" t="s">
        <v>26</v>
      </c>
      <c r="H1" t="s">
        <v>27</v>
      </c>
      <c r="I1" t="s">
        <v>4</v>
      </c>
      <c r="J1" t="s">
        <v>28</v>
      </c>
      <c r="K1" t="s">
        <v>29</v>
      </c>
    </row>
    <row r="2" spans="1:11">
      <c r="A2">
        <v>2022</v>
      </c>
      <c r="B2">
        <v>12</v>
      </c>
      <c r="C2" t="s">
        <v>30</v>
      </c>
      <c r="D2" t="s">
        <v>31</v>
      </c>
      <c r="E2" t="s">
        <v>32</v>
      </c>
      <c r="F2">
        <v>82935</v>
      </c>
      <c r="H2">
        <v>164395.47</v>
      </c>
      <c r="I2">
        <v>247330.47</v>
      </c>
      <c r="J2">
        <v>242323.4</v>
      </c>
      <c r="K2">
        <v>-0.0202444526952138</v>
      </c>
    </row>
    <row r="3" spans="1:11">
      <c r="A3">
        <v>2022</v>
      </c>
      <c r="B3">
        <v>11</v>
      </c>
      <c r="C3" t="s">
        <v>30</v>
      </c>
      <c r="D3" t="s">
        <v>31</v>
      </c>
      <c r="E3" t="s">
        <v>32</v>
      </c>
      <c r="F3">
        <v>82975</v>
      </c>
      <c r="G3">
        <v>200</v>
      </c>
      <c r="H3">
        <v>135332.51</v>
      </c>
      <c r="I3">
        <v>218507.51</v>
      </c>
      <c r="J3">
        <v>212083.3</v>
      </c>
      <c r="K3">
        <v>-0.0294004082514144</v>
      </c>
    </row>
    <row r="4" spans="1:11">
      <c r="A4">
        <v>2022</v>
      </c>
      <c r="B4">
        <v>10</v>
      </c>
      <c r="C4" t="s">
        <v>30</v>
      </c>
      <c r="D4" t="s">
        <v>31</v>
      </c>
      <c r="E4" t="s">
        <v>32</v>
      </c>
      <c r="F4">
        <v>74825</v>
      </c>
      <c r="G4">
        <v>0</v>
      </c>
      <c r="H4">
        <v>128853.74</v>
      </c>
      <c r="I4">
        <v>203678.74</v>
      </c>
      <c r="J4">
        <v>216218.3</v>
      </c>
      <c r="K4">
        <v>0.0615653847819364</v>
      </c>
    </row>
    <row r="5" spans="1:11">
      <c r="A5">
        <v>2022</v>
      </c>
      <c r="B5">
        <v>9</v>
      </c>
      <c r="C5" t="s">
        <v>30</v>
      </c>
      <c r="D5" t="s">
        <v>31</v>
      </c>
      <c r="E5" t="s">
        <v>32</v>
      </c>
      <c r="F5">
        <v>88995</v>
      </c>
      <c r="G5">
        <v>500</v>
      </c>
      <c r="H5">
        <v>134256.23</v>
      </c>
      <c r="I5">
        <v>223751.23</v>
      </c>
      <c r="J5">
        <v>217860</v>
      </c>
      <c r="K5">
        <v>-0.0263293748150569</v>
      </c>
    </row>
    <row r="6" spans="1:11">
      <c r="A6">
        <v>2022</v>
      </c>
      <c r="B6">
        <v>8</v>
      </c>
      <c r="C6" t="s">
        <v>30</v>
      </c>
      <c r="D6" t="s">
        <v>31</v>
      </c>
      <c r="E6" t="s">
        <v>32</v>
      </c>
      <c r="F6">
        <v>97155</v>
      </c>
      <c r="G6">
        <v>1000</v>
      </c>
      <c r="H6">
        <v>97297.51</v>
      </c>
      <c r="I6">
        <v>195452.51</v>
      </c>
      <c r="J6">
        <v>222631</v>
      </c>
      <c r="K6">
        <v>0.139054187638726</v>
      </c>
    </row>
    <row r="7" spans="1:11">
      <c r="A7">
        <v>2022</v>
      </c>
      <c r="B7">
        <v>7</v>
      </c>
      <c r="C7" t="s">
        <v>30</v>
      </c>
      <c r="D7" t="s">
        <v>31</v>
      </c>
      <c r="E7" t="s">
        <v>32</v>
      </c>
      <c r="F7">
        <v>68990</v>
      </c>
      <c r="G7">
        <v>650</v>
      </c>
      <c r="H7">
        <v>92502.61</v>
      </c>
      <c r="I7">
        <v>162142.61</v>
      </c>
      <c r="J7">
        <v>179085</v>
      </c>
      <c r="K7">
        <v>0.104490670280934</v>
      </c>
    </row>
    <row r="8" spans="1:11">
      <c r="A8">
        <v>2022</v>
      </c>
      <c r="B8">
        <v>6</v>
      </c>
      <c r="C8" t="s">
        <v>30</v>
      </c>
      <c r="D8" t="s">
        <v>31</v>
      </c>
      <c r="E8" t="s">
        <v>32</v>
      </c>
      <c r="F8">
        <v>101170</v>
      </c>
      <c r="G8">
        <v>0</v>
      </c>
      <c r="H8">
        <v>154416</v>
      </c>
      <c r="I8">
        <v>255586</v>
      </c>
      <c r="J8">
        <v>235492.66</v>
      </c>
      <c r="K8">
        <v>-0.0786167473961797</v>
      </c>
    </row>
    <row r="9" spans="1:11">
      <c r="A9">
        <v>2022</v>
      </c>
      <c r="B9">
        <v>5</v>
      </c>
      <c r="C9" t="s">
        <v>30</v>
      </c>
      <c r="D9" t="s">
        <v>31</v>
      </c>
      <c r="E9" t="s">
        <v>32</v>
      </c>
      <c r="F9">
        <v>79775</v>
      </c>
      <c r="G9">
        <v>0</v>
      </c>
      <c r="H9">
        <v>134776</v>
      </c>
      <c r="I9">
        <v>214551</v>
      </c>
      <c r="J9">
        <v>187902.67</v>
      </c>
      <c r="K9">
        <v>-0.124205107410359</v>
      </c>
    </row>
    <row r="10" spans="1:11">
      <c r="A10">
        <v>2022</v>
      </c>
      <c r="B10">
        <v>4</v>
      </c>
      <c r="C10" t="s">
        <v>30</v>
      </c>
      <c r="D10" t="s">
        <v>31</v>
      </c>
      <c r="E10" t="s">
        <v>32</v>
      </c>
      <c r="F10">
        <v>91540</v>
      </c>
      <c r="G10">
        <v>750</v>
      </c>
      <c r="H10">
        <v>134766</v>
      </c>
      <c r="I10">
        <v>227056</v>
      </c>
      <c r="J10">
        <v>199277.67</v>
      </c>
      <c r="K10">
        <v>-0.122341316679586</v>
      </c>
    </row>
    <row r="11" spans="1:11">
      <c r="A11">
        <v>2022</v>
      </c>
      <c r="B11">
        <v>3</v>
      </c>
      <c r="C11" t="s">
        <v>30</v>
      </c>
      <c r="D11" t="s">
        <v>31</v>
      </c>
      <c r="E11" t="s">
        <v>32</v>
      </c>
      <c r="F11">
        <v>77260</v>
      </c>
      <c r="G11">
        <v>0</v>
      </c>
      <c r="H11">
        <v>137046</v>
      </c>
      <c r="I11">
        <v>214306</v>
      </c>
      <c r="J11">
        <v>186397</v>
      </c>
      <c r="K11">
        <v>-0.130229671591089</v>
      </c>
    </row>
    <row r="12" spans="1:11">
      <c r="A12">
        <v>2022</v>
      </c>
      <c r="B12">
        <v>2</v>
      </c>
      <c r="C12" t="s">
        <v>30</v>
      </c>
      <c r="D12" t="s">
        <v>31</v>
      </c>
      <c r="E12" t="s">
        <v>32</v>
      </c>
      <c r="F12">
        <v>70545</v>
      </c>
      <c r="G12">
        <v>0</v>
      </c>
      <c r="H12">
        <v>134926</v>
      </c>
      <c r="I12">
        <v>205471</v>
      </c>
      <c r="J12">
        <v>155552</v>
      </c>
      <c r="K12">
        <v>-0.242949126640743</v>
      </c>
    </row>
    <row r="13" spans="1:11">
      <c r="A13">
        <v>2022</v>
      </c>
      <c r="B13">
        <v>1</v>
      </c>
      <c r="C13" t="s">
        <v>30</v>
      </c>
      <c r="D13" t="s">
        <v>31</v>
      </c>
      <c r="E13" t="s">
        <v>32</v>
      </c>
      <c r="F13">
        <v>53810</v>
      </c>
      <c r="G13">
        <v>0</v>
      </c>
      <c r="H13">
        <v>89420</v>
      </c>
      <c r="I13">
        <v>143230</v>
      </c>
      <c r="J13">
        <v>154156</v>
      </c>
      <c r="K13">
        <v>0.0762829016267541</v>
      </c>
    </row>
    <row r="14" spans="1:11">
      <c r="A14">
        <v>2022</v>
      </c>
      <c r="B14">
        <v>12</v>
      </c>
      <c r="C14" t="s">
        <v>30</v>
      </c>
      <c r="D14" t="s">
        <v>33</v>
      </c>
      <c r="E14" t="s">
        <v>34</v>
      </c>
      <c r="F14">
        <v>67461.35</v>
      </c>
      <c r="G14">
        <v>0</v>
      </c>
      <c r="H14">
        <v>53755.22</v>
      </c>
      <c r="I14">
        <v>121216.57</v>
      </c>
      <c r="J14">
        <v>121055.8</v>
      </c>
      <c r="K14">
        <v>-0.00132630382133403</v>
      </c>
    </row>
    <row r="15" spans="1:11">
      <c r="A15">
        <v>2022</v>
      </c>
      <c r="B15">
        <v>11</v>
      </c>
      <c r="C15" t="s">
        <v>30</v>
      </c>
      <c r="D15" t="s">
        <v>33</v>
      </c>
      <c r="E15" t="s">
        <v>34</v>
      </c>
      <c r="F15">
        <v>66506.25</v>
      </c>
      <c r="G15">
        <v>0</v>
      </c>
      <c r="H15">
        <v>45536.54</v>
      </c>
      <c r="I15">
        <v>112042.79</v>
      </c>
      <c r="J15">
        <v>96271.57</v>
      </c>
      <c r="K15">
        <v>-0.140760686162849</v>
      </c>
    </row>
    <row r="16" spans="1:11">
      <c r="A16">
        <v>2022</v>
      </c>
      <c r="B16">
        <v>10</v>
      </c>
      <c r="C16" t="s">
        <v>30</v>
      </c>
      <c r="D16" t="s">
        <v>33</v>
      </c>
      <c r="E16" t="s">
        <v>34</v>
      </c>
      <c r="F16">
        <v>61683.86</v>
      </c>
      <c r="G16">
        <v>0</v>
      </c>
      <c r="H16">
        <v>46121.96</v>
      </c>
      <c r="I16">
        <v>107805.82</v>
      </c>
      <c r="J16">
        <v>97952.47</v>
      </c>
      <c r="K16">
        <v>-0.0913990543367696</v>
      </c>
    </row>
    <row r="17" spans="1:11">
      <c r="A17">
        <v>2022</v>
      </c>
      <c r="B17">
        <v>9</v>
      </c>
      <c r="C17" t="s">
        <v>30</v>
      </c>
      <c r="D17" t="s">
        <v>33</v>
      </c>
      <c r="E17" t="s">
        <v>34</v>
      </c>
      <c r="F17">
        <v>61977.84</v>
      </c>
      <c r="G17">
        <v>0</v>
      </c>
      <c r="H17">
        <v>51813.35</v>
      </c>
      <c r="I17">
        <v>113791.19</v>
      </c>
      <c r="J17">
        <v>111094.59</v>
      </c>
      <c r="K17">
        <v>-0.0236977924213642</v>
      </c>
    </row>
    <row r="18" spans="1:11">
      <c r="A18">
        <v>2022</v>
      </c>
      <c r="B18">
        <v>8</v>
      </c>
      <c r="C18" t="s">
        <v>30</v>
      </c>
      <c r="D18" t="s">
        <v>33</v>
      </c>
      <c r="E18" t="s">
        <v>34</v>
      </c>
      <c r="F18">
        <v>70057.57</v>
      </c>
      <c r="G18">
        <v>0</v>
      </c>
      <c r="H18">
        <v>51576.0700000002</v>
      </c>
      <c r="I18">
        <v>121633.64</v>
      </c>
      <c r="J18">
        <v>119895.23</v>
      </c>
      <c r="K18">
        <v>-0.014292181011768</v>
      </c>
    </row>
    <row r="19" spans="1:11">
      <c r="A19">
        <v>2022</v>
      </c>
      <c r="B19">
        <v>7</v>
      </c>
      <c r="C19" t="s">
        <v>30</v>
      </c>
      <c r="D19" t="s">
        <v>33</v>
      </c>
      <c r="E19" t="s">
        <v>34</v>
      </c>
      <c r="F19">
        <v>58195.01</v>
      </c>
      <c r="G19">
        <v>0</v>
      </c>
      <c r="H19">
        <v>-2127.92</v>
      </c>
      <c r="I19">
        <v>56067.09</v>
      </c>
      <c r="J19">
        <v>96076.45</v>
      </c>
      <c r="K19">
        <v>0.713597941323511</v>
      </c>
    </row>
    <row r="20" spans="1:11">
      <c r="A20">
        <v>2022</v>
      </c>
      <c r="B20">
        <v>6</v>
      </c>
      <c r="C20" t="s">
        <v>30</v>
      </c>
      <c r="D20" t="s">
        <v>33</v>
      </c>
      <c r="E20" t="s">
        <v>34</v>
      </c>
      <c r="F20">
        <v>75321.21</v>
      </c>
      <c r="G20">
        <v>0</v>
      </c>
      <c r="H20">
        <v>61035</v>
      </c>
      <c r="I20">
        <v>136356.21</v>
      </c>
      <c r="J20">
        <v>156385.85</v>
      </c>
      <c r="K20">
        <v>0.146892026406425</v>
      </c>
    </row>
    <row r="21" spans="1:11">
      <c r="A21">
        <v>2022</v>
      </c>
      <c r="B21">
        <v>5</v>
      </c>
      <c r="C21" t="s">
        <v>30</v>
      </c>
      <c r="D21" t="s">
        <v>33</v>
      </c>
      <c r="E21" t="s">
        <v>34</v>
      </c>
      <c r="F21">
        <v>61188.01</v>
      </c>
      <c r="G21">
        <v>0</v>
      </c>
      <c r="H21">
        <v>57422</v>
      </c>
      <c r="I21">
        <v>118610.01</v>
      </c>
      <c r="J21">
        <v>170543.43</v>
      </c>
      <c r="K21">
        <v>0.437850228661139</v>
      </c>
    </row>
    <row r="22" spans="1:11">
      <c r="A22">
        <v>2022</v>
      </c>
      <c r="B22">
        <v>4</v>
      </c>
      <c r="C22" t="s">
        <v>30</v>
      </c>
      <c r="D22" t="s">
        <v>33</v>
      </c>
      <c r="E22" t="s">
        <v>34</v>
      </c>
      <c r="F22">
        <v>59647.28</v>
      </c>
      <c r="G22">
        <v>0</v>
      </c>
      <c r="H22">
        <v>47348</v>
      </c>
      <c r="I22">
        <v>106995.28</v>
      </c>
      <c r="J22">
        <v>179143.44</v>
      </c>
      <c r="K22">
        <v>0.674311614493649</v>
      </c>
    </row>
    <row r="23" spans="1:11">
      <c r="A23">
        <v>2022</v>
      </c>
      <c r="B23">
        <v>3</v>
      </c>
      <c r="C23" t="s">
        <v>30</v>
      </c>
      <c r="D23" t="s">
        <v>33</v>
      </c>
      <c r="E23" t="s">
        <v>34</v>
      </c>
      <c r="F23">
        <v>54247.98</v>
      </c>
      <c r="G23">
        <v>0</v>
      </c>
      <c r="H23">
        <v>46266</v>
      </c>
      <c r="I23">
        <v>100513.98</v>
      </c>
      <c r="J23">
        <v>168555.28</v>
      </c>
      <c r="K23">
        <v>0.676933696188331</v>
      </c>
    </row>
    <row r="24" spans="1:11">
      <c r="A24">
        <v>2022</v>
      </c>
      <c r="B24">
        <v>2</v>
      </c>
      <c r="C24" t="s">
        <v>30</v>
      </c>
      <c r="D24" t="s">
        <v>33</v>
      </c>
      <c r="E24" t="s">
        <v>34</v>
      </c>
      <c r="F24">
        <v>60783.79</v>
      </c>
      <c r="G24">
        <v>0</v>
      </c>
      <c r="H24">
        <v>46381</v>
      </c>
      <c r="I24">
        <v>107164.79</v>
      </c>
      <c r="J24">
        <v>162941.76</v>
      </c>
      <c r="K24">
        <v>0.520478507912907</v>
      </c>
    </row>
    <row r="25" spans="1:11">
      <c r="A25">
        <v>2022</v>
      </c>
      <c r="B25">
        <v>1</v>
      </c>
      <c r="C25" t="s">
        <v>30</v>
      </c>
      <c r="D25" t="s">
        <v>33</v>
      </c>
      <c r="E25" t="s">
        <v>34</v>
      </c>
      <c r="F25">
        <v>44407.44</v>
      </c>
      <c r="G25">
        <v>0</v>
      </c>
      <c r="H25">
        <v>34379.35</v>
      </c>
      <c r="I25">
        <v>78786.79</v>
      </c>
      <c r="J25">
        <v>151172.11</v>
      </c>
      <c r="K25">
        <v>0.918749450256826</v>
      </c>
    </row>
    <row r="26" spans="1:11">
      <c r="A26">
        <v>2022</v>
      </c>
      <c r="B26">
        <v>12</v>
      </c>
      <c r="C26" t="s">
        <v>30</v>
      </c>
      <c r="D26" t="s">
        <v>33</v>
      </c>
      <c r="E26" t="s">
        <v>35</v>
      </c>
      <c r="F26">
        <v>101956</v>
      </c>
      <c r="G26">
        <v>11720</v>
      </c>
      <c r="H26">
        <v>148104.17</v>
      </c>
      <c r="I26">
        <v>261780.17</v>
      </c>
      <c r="J26">
        <v>310301</v>
      </c>
      <c r="K26">
        <v>0.185349524373829</v>
      </c>
    </row>
    <row r="27" spans="1:11">
      <c r="A27">
        <v>2022</v>
      </c>
      <c r="B27">
        <v>11</v>
      </c>
      <c r="C27" t="s">
        <v>30</v>
      </c>
      <c r="D27" t="s">
        <v>33</v>
      </c>
      <c r="E27" t="s">
        <v>35</v>
      </c>
      <c r="F27">
        <v>112848</v>
      </c>
      <c r="G27">
        <v>1424</v>
      </c>
      <c r="H27">
        <v>171132.14</v>
      </c>
      <c r="I27">
        <v>285404.14</v>
      </c>
      <c r="J27">
        <v>226338</v>
      </c>
      <c r="K27">
        <v>-0.206956142962748</v>
      </c>
    </row>
    <row r="28" spans="1:11">
      <c r="A28">
        <v>2022</v>
      </c>
      <c r="B28">
        <v>10</v>
      </c>
      <c r="C28" t="s">
        <v>30</v>
      </c>
      <c r="D28" t="s">
        <v>33</v>
      </c>
      <c r="E28" t="s">
        <v>35</v>
      </c>
      <c r="F28">
        <v>105428</v>
      </c>
      <c r="G28">
        <v>10000</v>
      </c>
      <c r="H28">
        <v>189045.37</v>
      </c>
      <c r="I28">
        <v>304473.37</v>
      </c>
      <c r="J28">
        <v>219653</v>
      </c>
      <c r="K28">
        <v>-0.278580586538652</v>
      </c>
    </row>
    <row r="29" spans="1:11">
      <c r="A29">
        <v>2022</v>
      </c>
      <c r="B29">
        <v>9</v>
      </c>
      <c r="C29" t="s">
        <v>30</v>
      </c>
      <c r="D29" t="s">
        <v>33</v>
      </c>
      <c r="E29" t="s">
        <v>35</v>
      </c>
      <c r="F29">
        <v>108712</v>
      </c>
      <c r="H29">
        <v>189101.94</v>
      </c>
      <c r="I29">
        <v>297813.94</v>
      </c>
      <c r="J29">
        <v>239999.26</v>
      </c>
      <c r="K29">
        <v>-0.194130200889858</v>
      </c>
    </row>
    <row r="30" spans="1:11">
      <c r="A30">
        <v>2022</v>
      </c>
      <c r="B30">
        <v>8</v>
      </c>
      <c r="C30" t="s">
        <v>30</v>
      </c>
      <c r="D30" t="s">
        <v>33</v>
      </c>
      <c r="E30" t="s">
        <v>35</v>
      </c>
      <c r="F30">
        <v>95972</v>
      </c>
      <c r="H30">
        <v>56406.04</v>
      </c>
      <c r="I30">
        <v>152378.04</v>
      </c>
      <c r="J30">
        <v>251789.34</v>
      </c>
      <c r="K30">
        <v>0.652399125228281</v>
      </c>
    </row>
    <row r="31" spans="1:11">
      <c r="A31">
        <v>2022</v>
      </c>
      <c r="B31">
        <v>7</v>
      </c>
      <c r="C31" t="s">
        <v>30</v>
      </c>
      <c r="D31" t="s">
        <v>33</v>
      </c>
      <c r="E31" t="s">
        <v>35</v>
      </c>
      <c r="F31">
        <v>83576</v>
      </c>
      <c r="G31">
        <v>10000</v>
      </c>
      <c r="H31">
        <v>-5440.21</v>
      </c>
      <c r="I31">
        <v>88135.79</v>
      </c>
      <c r="J31">
        <v>201403.34</v>
      </c>
      <c r="K31">
        <v>1.28514817873647</v>
      </c>
    </row>
    <row r="32" spans="1:11">
      <c r="A32">
        <v>2022</v>
      </c>
      <c r="B32">
        <v>6</v>
      </c>
      <c r="C32" t="s">
        <v>30</v>
      </c>
      <c r="D32" t="s">
        <v>33</v>
      </c>
      <c r="E32" t="s">
        <v>35</v>
      </c>
      <c r="F32">
        <v>130324</v>
      </c>
      <c r="G32">
        <v>10000</v>
      </c>
      <c r="H32">
        <v>117200</v>
      </c>
      <c r="I32">
        <v>257524</v>
      </c>
      <c r="J32">
        <v>302454.34</v>
      </c>
      <c r="K32">
        <v>0.174470495953775</v>
      </c>
    </row>
    <row r="33" spans="1:11">
      <c r="A33">
        <v>2022</v>
      </c>
      <c r="B33">
        <v>5</v>
      </c>
      <c r="C33" t="s">
        <v>30</v>
      </c>
      <c r="D33" t="s">
        <v>33</v>
      </c>
      <c r="E33" t="s">
        <v>35</v>
      </c>
      <c r="F33">
        <v>90992</v>
      </c>
      <c r="G33">
        <v>300</v>
      </c>
      <c r="H33">
        <v>119000</v>
      </c>
      <c r="I33">
        <v>210292</v>
      </c>
      <c r="J33">
        <v>286265.34</v>
      </c>
      <c r="K33">
        <v>0.361275464592091</v>
      </c>
    </row>
    <row r="34" spans="1:11">
      <c r="A34">
        <v>2022</v>
      </c>
      <c r="B34">
        <v>4</v>
      </c>
      <c r="C34" t="s">
        <v>30</v>
      </c>
      <c r="D34" t="s">
        <v>33</v>
      </c>
      <c r="E34" t="s">
        <v>35</v>
      </c>
      <c r="F34">
        <v>95148</v>
      </c>
      <c r="H34">
        <v>141950</v>
      </c>
      <c r="I34">
        <v>237098</v>
      </c>
      <c r="J34">
        <v>279665.34</v>
      </c>
      <c r="K34">
        <v>0.179534791520806</v>
      </c>
    </row>
    <row r="35" spans="1:11">
      <c r="A35">
        <v>2022</v>
      </c>
      <c r="B35">
        <v>3</v>
      </c>
      <c r="C35" t="s">
        <v>30</v>
      </c>
      <c r="D35" t="s">
        <v>33</v>
      </c>
      <c r="E35" t="s">
        <v>35</v>
      </c>
      <c r="F35">
        <v>120392</v>
      </c>
      <c r="G35">
        <v>1524</v>
      </c>
      <c r="H35">
        <v>258100</v>
      </c>
      <c r="I35">
        <v>380016</v>
      </c>
      <c r="J35">
        <v>284264.34</v>
      </c>
      <c r="K35">
        <v>-0.251967443476064</v>
      </c>
    </row>
    <row r="36" spans="1:11">
      <c r="A36">
        <v>2022</v>
      </c>
      <c r="B36">
        <v>2</v>
      </c>
      <c r="C36" t="s">
        <v>30</v>
      </c>
      <c r="D36" t="s">
        <v>33</v>
      </c>
      <c r="E36" t="s">
        <v>35</v>
      </c>
      <c r="F36">
        <v>163640</v>
      </c>
      <c r="G36">
        <v>21048</v>
      </c>
      <c r="H36">
        <v>224900</v>
      </c>
      <c r="I36">
        <v>409588</v>
      </c>
      <c r="J36">
        <v>307473.65</v>
      </c>
      <c r="K36">
        <v>-0.249309916306142</v>
      </c>
    </row>
    <row r="37" spans="1:11">
      <c r="A37">
        <v>2022</v>
      </c>
      <c r="B37">
        <v>1</v>
      </c>
      <c r="C37" t="s">
        <v>30</v>
      </c>
      <c r="D37" t="s">
        <v>33</v>
      </c>
      <c r="E37" t="s">
        <v>35</v>
      </c>
      <c r="F37">
        <v>115976</v>
      </c>
      <c r="G37">
        <v>10000</v>
      </c>
      <c r="H37">
        <v>217550</v>
      </c>
      <c r="I37">
        <v>343526</v>
      </c>
      <c r="J37">
        <v>204627.68</v>
      </c>
      <c r="K37">
        <v>-0.404331316989107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workbookViewId="0">
      <selection activeCell="A1" sqref="A1:K37"/>
    </sheetView>
  </sheetViews>
  <sheetFormatPr defaultColWidth="9" defaultRowHeight="14.25"/>
  <cols>
    <col min="3" max="4" width="10.25" customWidth="1"/>
    <col min="6" max="6" width="10.25" customWidth="1"/>
    <col min="7" max="7" width="12.125" customWidth="1"/>
    <col min="8" max="8" width="10.25" customWidth="1"/>
    <col min="10" max="10" width="12.125" customWidth="1"/>
  </cols>
  <sheetData>
    <row r="1" spans="1:11">
      <c r="A1" t="s">
        <v>0</v>
      </c>
      <c r="B1" t="s">
        <v>1</v>
      </c>
      <c r="C1" t="s">
        <v>24</v>
      </c>
      <c r="D1" t="s">
        <v>25</v>
      </c>
      <c r="E1" t="s">
        <v>2</v>
      </c>
      <c r="F1" t="s">
        <v>3</v>
      </c>
      <c r="G1" t="s">
        <v>26</v>
      </c>
      <c r="H1" t="s">
        <v>27</v>
      </c>
      <c r="I1" t="s">
        <v>4</v>
      </c>
      <c r="J1" t="s">
        <v>28</v>
      </c>
      <c r="K1" t="s">
        <v>29</v>
      </c>
    </row>
    <row r="2" spans="1:11">
      <c r="A2">
        <v>2022</v>
      </c>
      <c r="B2">
        <v>12</v>
      </c>
      <c r="C2" t="s">
        <v>30</v>
      </c>
      <c r="D2" t="s">
        <v>31</v>
      </c>
      <c r="E2" t="s">
        <v>32</v>
      </c>
      <c r="F2">
        <v>82935</v>
      </c>
      <c r="H2">
        <v>164395.47</v>
      </c>
      <c r="I2">
        <v>247330.47</v>
      </c>
      <c r="J2">
        <v>242323.4</v>
      </c>
      <c r="K2">
        <v>-0.0202444526952138</v>
      </c>
    </row>
    <row r="3" spans="1:11">
      <c r="A3">
        <v>2022</v>
      </c>
      <c r="B3">
        <v>11</v>
      </c>
      <c r="C3" t="s">
        <v>30</v>
      </c>
      <c r="D3" t="s">
        <v>31</v>
      </c>
      <c r="E3" t="s">
        <v>32</v>
      </c>
      <c r="F3">
        <v>82975</v>
      </c>
      <c r="G3">
        <v>200</v>
      </c>
      <c r="H3">
        <v>135332.51</v>
      </c>
      <c r="I3">
        <v>218507.51</v>
      </c>
      <c r="J3">
        <v>212083.3</v>
      </c>
      <c r="K3">
        <v>-0.0294004082514144</v>
      </c>
    </row>
    <row r="4" spans="1:11">
      <c r="A4">
        <v>2022</v>
      </c>
      <c r="B4">
        <v>10</v>
      </c>
      <c r="C4" t="s">
        <v>30</v>
      </c>
      <c r="D4" t="s">
        <v>31</v>
      </c>
      <c r="E4" t="s">
        <v>32</v>
      </c>
      <c r="F4">
        <v>74825</v>
      </c>
      <c r="G4">
        <v>0</v>
      </c>
      <c r="H4">
        <v>128853.74</v>
      </c>
      <c r="I4">
        <v>203678.74</v>
      </c>
      <c r="J4">
        <v>216218.3</v>
      </c>
      <c r="K4">
        <v>0.0615653847819364</v>
      </c>
    </row>
    <row r="5" spans="1:11">
      <c r="A5">
        <v>2022</v>
      </c>
      <c r="B5">
        <v>9</v>
      </c>
      <c r="C5" t="s">
        <v>30</v>
      </c>
      <c r="D5" t="s">
        <v>31</v>
      </c>
      <c r="E5" t="s">
        <v>32</v>
      </c>
      <c r="F5">
        <v>88995</v>
      </c>
      <c r="G5">
        <v>500</v>
      </c>
      <c r="H5">
        <v>134256.23</v>
      </c>
      <c r="I5">
        <v>223751.23</v>
      </c>
      <c r="J5">
        <v>217860</v>
      </c>
      <c r="K5">
        <v>-0.0263293748150569</v>
      </c>
    </row>
    <row r="6" spans="1:11">
      <c r="A6">
        <v>2022</v>
      </c>
      <c r="B6">
        <v>8</v>
      </c>
      <c r="C6" t="s">
        <v>30</v>
      </c>
      <c r="D6" t="s">
        <v>31</v>
      </c>
      <c r="E6" t="s">
        <v>32</v>
      </c>
      <c r="F6">
        <v>97155</v>
      </c>
      <c r="G6">
        <v>1000</v>
      </c>
      <c r="H6">
        <v>97297.51</v>
      </c>
      <c r="I6">
        <v>195452.51</v>
      </c>
      <c r="J6">
        <v>222631</v>
      </c>
      <c r="K6">
        <v>0.139054187638726</v>
      </c>
    </row>
    <row r="7" spans="1:11">
      <c r="A7">
        <v>2022</v>
      </c>
      <c r="B7">
        <v>7</v>
      </c>
      <c r="C7" t="s">
        <v>30</v>
      </c>
      <c r="D7" t="s">
        <v>31</v>
      </c>
      <c r="E7" t="s">
        <v>32</v>
      </c>
      <c r="F7">
        <v>68990</v>
      </c>
      <c r="G7">
        <v>650</v>
      </c>
      <c r="H7">
        <v>92502.61</v>
      </c>
      <c r="I7">
        <v>162142.61</v>
      </c>
      <c r="J7">
        <v>179085</v>
      </c>
      <c r="K7">
        <v>0.104490670280934</v>
      </c>
    </row>
    <row r="8" spans="1:11">
      <c r="A8">
        <v>2022</v>
      </c>
      <c r="B8">
        <v>6</v>
      </c>
      <c r="C8" t="s">
        <v>30</v>
      </c>
      <c r="D8" t="s">
        <v>31</v>
      </c>
      <c r="E8" t="s">
        <v>32</v>
      </c>
      <c r="F8">
        <v>101170</v>
      </c>
      <c r="G8">
        <v>0</v>
      </c>
      <c r="H8">
        <v>154416</v>
      </c>
      <c r="I8">
        <v>255586</v>
      </c>
      <c r="J8">
        <v>235492.66</v>
      </c>
      <c r="K8">
        <v>-0.0786167473961797</v>
      </c>
    </row>
    <row r="9" spans="1:11">
      <c r="A9">
        <v>2022</v>
      </c>
      <c r="B9">
        <v>5</v>
      </c>
      <c r="C9" t="s">
        <v>30</v>
      </c>
      <c r="D9" t="s">
        <v>31</v>
      </c>
      <c r="E9" t="s">
        <v>32</v>
      </c>
      <c r="F9">
        <v>79775</v>
      </c>
      <c r="G9">
        <v>0</v>
      </c>
      <c r="H9">
        <v>134776</v>
      </c>
      <c r="I9">
        <v>214551</v>
      </c>
      <c r="J9">
        <v>187902.67</v>
      </c>
      <c r="K9">
        <v>-0.124205107410359</v>
      </c>
    </row>
    <row r="10" spans="1:11">
      <c r="A10">
        <v>2022</v>
      </c>
      <c r="B10">
        <v>4</v>
      </c>
      <c r="C10" t="s">
        <v>30</v>
      </c>
      <c r="D10" t="s">
        <v>31</v>
      </c>
      <c r="E10" t="s">
        <v>32</v>
      </c>
      <c r="F10">
        <v>91540</v>
      </c>
      <c r="G10">
        <v>750</v>
      </c>
      <c r="H10">
        <v>134766</v>
      </c>
      <c r="I10">
        <v>227056</v>
      </c>
      <c r="J10">
        <v>199277.67</v>
      </c>
      <c r="K10">
        <v>-0.122341316679586</v>
      </c>
    </row>
    <row r="11" spans="1:11">
      <c r="A11">
        <v>2022</v>
      </c>
      <c r="B11">
        <v>3</v>
      </c>
      <c r="C11" t="s">
        <v>30</v>
      </c>
      <c r="D11" t="s">
        <v>31</v>
      </c>
      <c r="E11" t="s">
        <v>32</v>
      </c>
      <c r="F11">
        <v>77260</v>
      </c>
      <c r="G11">
        <v>0</v>
      </c>
      <c r="H11">
        <v>137046</v>
      </c>
      <c r="I11">
        <v>214306</v>
      </c>
      <c r="J11">
        <v>186397</v>
      </c>
      <c r="K11">
        <v>-0.130229671591089</v>
      </c>
    </row>
    <row r="12" spans="1:11">
      <c r="A12">
        <v>2022</v>
      </c>
      <c r="B12">
        <v>2</v>
      </c>
      <c r="C12" t="s">
        <v>30</v>
      </c>
      <c r="D12" t="s">
        <v>31</v>
      </c>
      <c r="E12" t="s">
        <v>32</v>
      </c>
      <c r="F12">
        <v>70545</v>
      </c>
      <c r="G12">
        <v>0</v>
      </c>
      <c r="H12">
        <v>134926</v>
      </c>
      <c r="I12">
        <v>205471</v>
      </c>
      <c r="J12">
        <v>155552</v>
      </c>
      <c r="K12">
        <v>-0.242949126640743</v>
      </c>
    </row>
    <row r="13" spans="1:11">
      <c r="A13">
        <v>2022</v>
      </c>
      <c r="B13">
        <v>1</v>
      </c>
      <c r="C13" t="s">
        <v>30</v>
      </c>
      <c r="D13" t="s">
        <v>31</v>
      </c>
      <c r="E13" t="s">
        <v>32</v>
      </c>
      <c r="F13">
        <v>53810</v>
      </c>
      <c r="G13">
        <v>0</v>
      </c>
      <c r="H13">
        <v>89420</v>
      </c>
      <c r="I13">
        <v>143230</v>
      </c>
      <c r="J13">
        <v>154156</v>
      </c>
      <c r="K13">
        <v>0.0762829016267541</v>
      </c>
    </row>
    <row r="14" spans="1:11">
      <c r="A14">
        <v>2022</v>
      </c>
      <c r="B14">
        <v>12</v>
      </c>
      <c r="C14" t="s">
        <v>30</v>
      </c>
      <c r="D14" t="s">
        <v>33</v>
      </c>
      <c r="E14" t="s">
        <v>34</v>
      </c>
      <c r="F14">
        <v>67461.35</v>
      </c>
      <c r="G14">
        <v>0</v>
      </c>
      <c r="H14">
        <v>53755.22</v>
      </c>
      <c r="I14">
        <v>121216.57</v>
      </c>
      <c r="J14">
        <v>121055.8</v>
      </c>
      <c r="K14">
        <v>-0.00132630382133403</v>
      </c>
    </row>
    <row r="15" spans="1:11">
      <c r="A15">
        <v>2022</v>
      </c>
      <c r="B15">
        <v>11</v>
      </c>
      <c r="C15" t="s">
        <v>30</v>
      </c>
      <c r="D15" t="s">
        <v>33</v>
      </c>
      <c r="E15" t="s">
        <v>34</v>
      </c>
      <c r="F15">
        <v>66506.25</v>
      </c>
      <c r="G15">
        <v>0</v>
      </c>
      <c r="H15">
        <v>45536.54</v>
      </c>
      <c r="I15">
        <v>112042.79</v>
      </c>
      <c r="J15">
        <v>96271.57</v>
      </c>
      <c r="K15">
        <v>-0.140760686162849</v>
      </c>
    </row>
    <row r="16" spans="1:11">
      <c r="A16">
        <v>2022</v>
      </c>
      <c r="B16">
        <v>10</v>
      </c>
      <c r="C16" t="s">
        <v>30</v>
      </c>
      <c r="D16" t="s">
        <v>33</v>
      </c>
      <c r="E16" t="s">
        <v>34</v>
      </c>
      <c r="F16">
        <v>61683.86</v>
      </c>
      <c r="G16">
        <v>0</v>
      </c>
      <c r="H16">
        <v>46121.96</v>
      </c>
      <c r="I16">
        <v>107805.82</v>
      </c>
      <c r="J16">
        <v>97952.47</v>
      </c>
      <c r="K16">
        <v>-0.0913990543367696</v>
      </c>
    </row>
    <row r="17" spans="1:11">
      <c r="A17">
        <v>2022</v>
      </c>
      <c r="B17">
        <v>9</v>
      </c>
      <c r="C17" t="s">
        <v>30</v>
      </c>
      <c r="D17" t="s">
        <v>33</v>
      </c>
      <c r="E17" t="s">
        <v>34</v>
      </c>
      <c r="F17">
        <v>61977.84</v>
      </c>
      <c r="G17">
        <v>0</v>
      </c>
      <c r="H17">
        <v>51813.35</v>
      </c>
      <c r="I17">
        <v>113791.19</v>
      </c>
      <c r="J17">
        <v>111094.59</v>
      </c>
      <c r="K17">
        <v>-0.0236977924213642</v>
      </c>
    </row>
    <row r="18" spans="1:11">
      <c r="A18">
        <v>2022</v>
      </c>
      <c r="B18">
        <v>8</v>
      </c>
      <c r="C18" t="s">
        <v>30</v>
      </c>
      <c r="D18" t="s">
        <v>33</v>
      </c>
      <c r="E18" t="s">
        <v>34</v>
      </c>
      <c r="F18">
        <v>70057.57</v>
      </c>
      <c r="G18">
        <v>0</v>
      </c>
      <c r="H18">
        <v>51576.0700000002</v>
      </c>
      <c r="I18">
        <v>121633.64</v>
      </c>
      <c r="J18">
        <v>119895.23</v>
      </c>
      <c r="K18">
        <v>-0.014292181011768</v>
      </c>
    </row>
    <row r="19" spans="1:11">
      <c r="A19">
        <v>2022</v>
      </c>
      <c r="B19">
        <v>7</v>
      </c>
      <c r="C19" t="s">
        <v>30</v>
      </c>
      <c r="D19" t="s">
        <v>33</v>
      </c>
      <c r="E19" t="s">
        <v>34</v>
      </c>
      <c r="F19">
        <v>58195.01</v>
      </c>
      <c r="G19">
        <v>0</v>
      </c>
      <c r="H19">
        <v>-2127.92</v>
      </c>
      <c r="I19">
        <v>56067.09</v>
      </c>
      <c r="J19">
        <v>96076.45</v>
      </c>
      <c r="K19">
        <v>0.713597941323511</v>
      </c>
    </row>
    <row r="20" spans="1:11">
      <c r="A20">
        <v>2022</v>
      </c>
      <c r="B20">
        <v>6</v>
      </c>
      <c r="C20" t="s">
        <v>30</v>
      </c>
      <c r="D20" t="s">
        <v>33</v>
      </c>
      <c r="E20" t="s">
        <v>34</v>
      </c>
      <c r="F20">
        <v>75321.21</v>
      </c>
      <c r="G20">
        <v>0</v>
      </c>
      <c r="H20">
        <v>61035</v>
      </c>
      <c r="I20">
        <v>136356.21</v>
      </c>
      <c r="J20">
        <v>156385.85</v>
      </c>
      <c r="K20">
        <v>0.146892026406425</v>
      </c>
    </row>
    <row r="21" spans="1:11">
      <c r="A21">
        <v>2022</v>
      </c>
      <c r="B21">
        <v>5</v>
      </c>
      <c r="C21" t="s">
        <v>30</v>
      </c>
      <c r="D21" t="s">
        <v>33</v>
      </c>
      <c r="E21" t="s">
        <v>34</v>
      </c>
      <c r="F21">
        <v>61188.01</v>
      </c>
      <c r="G21">
        <v>0</v>
      </c>
      <c r="H21">
        <v>57422</v>
      </c>
      <c r="I21">
        <v>118610.01</v>
      </c>
      <c r="J21">
        <v>170543.43</v>
      </c>
      <c r="K21">
        <v>0.437850228661139</v>
      </c>
    </row>
    <row r="22" spans="1:11">
      <c r="A22">
        <v>2022</v>
      </c>
      <c r="B22">
        <v>4</v>
      </c>
      <c r="C22" t="s">
        <v>30</v>
      </c>
      <c r="D22" t="s">
        <v>33</v>
      </c>
      <c r="E22" t="s">
        <v>34</v>
      </c>
      <c r="F22">
        <v>59647.28</v>
      </c>
      <c r="G22">
        <v>0</v>
      </c>
      <c r="H22">
        <v>47348</v>
      </c>
      <c r="I22">
        <v>106995.28</v>
      </c>
      <c r="J22">
        <v>179143.44</v>
      </c>
      <c r="K22">
        <v>0.674311614493649</v>
      </c>
    </row>
    <row r="23" spans="1:11">
      <c r="A23">
        <v>2022</v>
      </c>
      <c r="B23">
        <v>3</v>
      </c>
      <c r="C23" t="s">
        <v>30</v>
      </c>
      <c r="D23" t="s">
        <v>33</v>
      </c>
      <c r="E23" t="s">
        <v>34</v>
      </c>
      <c r="F23">
        <v>54247.98</v>
      </c>
      <c r="G23">
        <v>0</v>
      </c>
      <c r="H23">
        <v>46266</v>
      </c>
      <c r="I23">
        <v>100513.98</v>
      </c>
      <c r="J23">
        <v>168555.28</v>
      </c>
      <c r="K23">
        <v>0.676933696188331</v>
      </c>
    </row>
    <row r="24" spans="1:11">
      <c r="A24">
        <v>2022</v>
      </c>
      <c r="B24">
        <v>2</v>
      </c>
      <c r="C24" t="s">
        <v>30</v>
      </c>
      <c r="D24" t="s">
        <v>33</v>
      </c>
      <c r="E24" t="s">
        <v>34</v>
      </c>
      <c r="F24">
        <v>60783.79</v>
      </c>
      <c r="G24">
        <v>0</v>
      </c>
      <c r="H24">
        <v>46381</v>
      </c>
      <c r="I24">
        <v>107164.79</v>
      </c>
      <c r="J24">
        <v>162941.76</v>
      </c>
      <c r="K24">
        <v>0.520478507912907</v>
      </c>
    </row>
    <row r="25" spans="1:11">
      <c r="A25">
        <v>2022</v>
      </c>
      <c r="B25">
        <v>1</v>
      </c>
      <c r="C25" t="s">
        <v>30</v>
      </c>
      <c r="D25" t="s">
        <v>33</v>
      </c>
      <c r="E25" t="s">
        <v>34</v>
      </c>
      <c r="F25">
        <v>44407.44</v>
      </c>
      <c r="G25">
        <v>0</v>
      </c>
      <c r="H25">
        <v>34379.35</v>
      </c>
      <c r="I25">
        <v>78786.79</v>
      </c>
      <c r="J25">
        <v>151172.11</v>
      </c>
      <c r="K25">
        <v>0.918749450256826</v>
      </c>
    </row>
    <row r="26" spans="1:11">
      <c r="A26">
        <v>2022</v>
      </c>
      <c r="B26">
        <v>12</v>
      </c>
      <c r="C26" t="s">
        <v>30</v>
      </c>
      <c r="D26" t="s">
        <v>33</v>
      </c>
      <c r="E26" t="s">
        <v>35</v>
      </c>
      <c r="F26">
        <v>101956</v>
      </c>
      <c r="G26">
        <v>11720</v>
      </c>
      <c r="H26">
        <v>148104.17</v>
      </c>
      <c r="I26">
        <v>261780.17</v>
      </c>
      <c r="J26">
        <v>310301</v>
      </c>
      <c r="K26">
        <v>0.185349524373829</v>
      </c>
    </row>
    <row r="27" spans="1:11">
      <c r="A27">
        <v>2022</v>
      </c>
      <c r="B27">
        <v>11</v>
      </c>
      <c r="C27" t="s">
        <v>30</v>
      </c>
      <c r="D27" t="s">
        <v>33</v>
      </c>
      <c r="E27" t="s">
        <v>35</v>
      </c>
      <c r="F27">
        <v>112848</v>
      </c>
      <c r="G27">
        <v>1424</v>
      </c>
      <c r="H27">
        <v>171132.14</v>
      </c>
      <c r="I27">
        <v>285404.14</v>
      </c>
      <c r="J27">
        <v>226338</v>
      </c>
      <c r="K27">
        <v>-0.206956142962748</v>
      </c>
    </row>
    <row r="28" spans="1:11">
      <c r="A28">
        <v>2022</v>
      </c>
      <c r="B28">
        <v>10</v>
      </c>
      <c r="C28" t="s">
        <v>30</v>
      </c>
      <c r="D28" t="s">
        <v>33</v>
      </c>
      <c r="E28" t="s">
        <v>35</v>
      </c>
      <c r="F28">
        <v>105428</v>
      </c>
      <c r="G28">
        <v>10000</v>
      </c>
      <c r="H28">
        <v>189045.37</v>
      </c>
      <c r="I28">
        <v>304473.37</v>
      </c>
      <c r="J28">
        <v>219653</v>
      </c>
      <c r="K28">
        <v>-0.278580586538652</v>
      </c>
    </row>
    <row r="29" spans="1:11">
      <c r="A29">
        <v>2022</v>
      </c>
      <c r="B29">
        <v>9</v>
      </c>
      <c r="C29" t="s">
        <v>30</v>
      </c>
      <c r="D29" t="s">
        <v>33</v>
      </c>
      <c r="E29" t="s">
        <v>35</v>
      </c>
      <c r="F29">
        <v>108712</v>
      </c>
      <c r="H29">
        <v>189101.94</v>
      </c>
      <c r="I29">
        <v>297813.94</v>
      </c>
      <c r="J29">
        <v>239999.26</v>
      </c>
      <c r="K29">
        <v>-0.194130200889858</v>
      </c>
    </row>
    <row r="30" spans="1:11">
      <c r="A30">
        <v>2022</v>
      </c>
      <c r="B30">
        <v>8</v>
      </c>
      <c r="C30" t="s">
        <v>30</v>
      </c>
      <c r="D30" t="s">
        <v>33</v>
      </c>
      <c r="E30" t="s">
        <v>35</v>
      </c>
      <c r="F30">
        <v>95972</v>
      </c>
      <c r="H30">
        <v>56406.04</v>
      </c>
      <c r="I30">
        <v>152378.04</v>
      </c>
      <c r="J30">
        <v>251789.34</v>
      </c>
      <c r="K30">
        <v>0.652399125228281</v>
      </c>
    </row>
    <row r="31" spans="1:11">
      <c r="A31">
        <v>2022</v>
      </c>
      <c r="B31">
        <v>7</v>
      </c>
      <c r="C31" t="s">
        <v>30</v>
      </c>
      <c r="D31" t="s">
        <v>33</v>
      </c>
      <c r="E31" t="s">
        <v>35</v>
      </c>
      <c r="F31">
        <v>83576</v>
      </c>
      <c r="G31">
        <v>10000</v>
      </c>
      <c r="H31">
        <v>-5440.21</v>
      </c>
      <c r="I31">
        <v>88135.79</v>
      </c>
      <c r="J31">
        <v>201403.34</v>
      </c>
      <c r="K31">
        <v>1.28514817873647</v>
      </c>
    </row>
    <row r="32" spans="1:11">
      <c r="A32">
        <v>2022</v>
      </c>
      <c r="B32">
        <v>6</v>
      </c>
      <c r="C32" t="s">
        <v>30</v>
      </c>
      <c r="D32" t="s">
        <v>33</v>
      </c>
      <c r="E32" t="s">
        <v>35</v>
      </c>
      <c r="F32">
        <v>130324</v>
      </c>
      <c r="G32">
        <v>10000</v>
      </c>
      <c r="H32">
        <v>117200</v>
      </c>
      <c r="I32">
        <v>257524</v>
      </c>
      <c r="J32">
        <v>302454.34</v>
      </c>
      <c r="K32">
        <v>0.174470495953775</v>
      </c>
    </row>
    <row r="33" spans="1:11">
      <c r="A33">
        <v>2022</v>
      </c>
      <c r="B33">
        <v>5</v>
      </c>
      <c r="C33" t="s">
        <v>30</v>
      </c>
      <c r="D33" t="s">
        <v>33</v>
      </c>
      <c r="E33" t="s">
        <v>35</v>
      </c>
      <c r="F33">
        <v>90992</v>
      </c>
      <c r="G33">
        <v>300</v>
      </c>
      <c r="H33">
        <v>119000</v>
      </c>
      <c r="I33">
        <v>210292</v>
      </c>
      <c r="J33">
        <v>286265.34</v>
      </c>
      <c r="K33">
        <v>0.361275464592091</v>
      </c>
    </row>
    <row r="34" spans="1:11">
      <c r="A34">
        <v>2022</v>
      </c>
      <c r="B34">
        <v>4</v>
      </c>
      <c r="C34" t="s">
        <v>30</v>
      </c>
      <c r="D34" t="s">
        <v>33</v>
      </c>
      <c r="E34" t="s">
        <v>35</v>
      </c>
      <c r="F34">
        <v>95148</v>
      </c>
      <c r="H34">
        <v>141950</v>
      </c>
      <c r="I34">
        <v>237098</v>
      </c>
      <c r="J34">
        <v>279665.34</v>
      </c>
      <c r="K34">
        <v>0.179534791520806</v>
      </c>
    </row>
    <row r="35" spans="1:11">
      <c r="A35">
        <v>2022</v>
      </c>
      <c r="B35">
        <v>3</v>
      </c>
      <c r="C35" t="s">
        <v>30</v>
      </c>
      <c r="D35" t="s">
        <v>33</v>
      </c>
      <c r="E35" t="s">
        <v>35</v>
      </c>
      <c r="F35">
        <v>120392</v>
      </c>
      <c r="G35">
        <v>1524</v>
      </c>
      <c r="H35">
        <v>258100</v>
      </c>
      <c r="I35">
        <v>380016</v>
      </c>
      <c r="J35">
        <v>284264.34</v>
      </c>
      <c r="K35">
        <v>-0.251967443476064</v>
      </c>
    </row>
    <row r="36" spans="1:11">
      <c r="A36">
        <v>2022</v>
      </c>
      <c r="B36">
        <v>2</v>
      </c>
      <c r="C36" t="s">
        <v>30</v>
      </c>
      <c r="D36" t="s">
        <v>33</v>
      </c>
      <c r="E36" t="s">
        <v>35</v>
      </c>
      <c r="F36">
        <v>163640</v>
      </c>
      <c r="G36">
        <v>21048</v>
      </c>
      <c r="H36">
        <v>224900</v>
      </c>
      <c r="I36">
        <v>409588</v>
      </c>
      <c r="J36">
        <v>307473.65</v>
      </c>
      <c r="K36">
        <v>-0.249309916306142</v>
      </c>
    </row>
    <row r="37" spans="1:11">
      <c r="A37">
        <v>2022</v>
      </c>
      <c r="B37">
        <v>1</v>
      </c>
      <c r="C37" t="s">
        <v>30</v>
      </c>
      <c r="D37" t="s">
        <v>33</v>
      </c>
      <c r="E37" t="s">
        <v>35</v>
      </c>
      <c r="F37">
        <v>115976</v>
      </c>
      <c r="G37">
        <v>10000</v>
      </c>
      <c r="H37">
        <v>217550</v>
      </c>
      <c r="I37">
        <v>343526</v>
      </c>
      <c r="J37">
        <v>204627.68</v>
      </c>
      <c r="K37">
        <v>-0.404331316989107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workbookViewId="0">
      <selection activeCell="A1" sqref="A1:K37"/>
    </sheetView>
  </sheetViews>
  <sheetFormatPr defaultColWidth="9" defaultRowHeight="14.25"/>
  <cols>
    <col min="3" max="4" width="10.25" customWidth="1"/>
    <col min="6" max="6" width="10.25" customWidth="1"/>
    <col min="7" max="7" width="12.125" customWidth="1"/>
    <col min="8" max="8" width="10.25" customWidth="1"/>
    <col min="10" max="10" width="12.125" customWidth="1"/>
  </cols>
  <sheetData>
    <row r="1" spans="1:11">
      <c r="A1" t="s">
        <v>0</v>
      </c>
      <c r="B1" t="s">
        <v>1</v>
      </c>
      <c r="C1" t="s">
        <v>24</v>
      </c>
      <c r="D1" t="s">
        <v>25</v>
      </c>
      <c r="E1" t="s">
        <v>2</v>
      </c>
      <c r="F1" t="s">
        <v>3</v>
      </c>
      <c r="G1" t="s">
        <v>26</v>
      </c>
      <c r="H1" t="s">
        <v>27</v>
      </c>
      <c r="I1" t="s">
        <v>4</v>
      </c>
      <c r="J1" t="s">
        <v>28</v>
      </c>
      <c r="K1" t="s">
        <v>29</v>
      </c>
    </row>
    <row r="2" spans="1:11">
      <c r="A2">
        <v>2022</v>
      </c>
      <c r="B2">
        <v>12</v>
      </c>
      <c r="C2" t="s">
        <v>30</v>
      </c>
      <c r="D2" t="s">
        <v>31</v>
      </c>
      <c r="E2" t="s">
        <v>32</v>
      </c>
      <c r="F2">
        <v>82935</v>
      </c>
      <c r="H2">
        <v>164395.47</v>
      </c>
      <c r="I2">
        <v>247330.47</v>
      </c>
      <c r="J2">
        <v>242323.4</v>
      </c>
      <c r="K2">
        <v>-0.0202444526952138</v>
      </c>
    </row>
    <row r="3" spans="1:11">
      <c r="A3">
        <v>2022</v>
      </c>
      <c r="B3">
        <v>11</v>
      </c>
      <c r="C3" t="s">
        <v>30</v>
      </c>
      <c r="D3" t="s">
        <v>31</v>
      </c>
      <c r="E3" t="s">
        <v>32</v>
      </c>
      <c r="F3">
        <v>82975</v>
      </c>
      <c r="G3">
        <v>200</v>
      </c>
      <c r="H3">
        <v>135332.51</v>
      </c>
      <c r="I3">
        <v>218507.51</v>
      </c>
      <c r="J3">
        <v>212083.3</v>
      </c>
      <c r="K3">
        <v>-0.0294004082514144</v>
      </c>
    </row>
    <row r="4" spans="1:11">
      <c r="A4">
        <v>2022</v>
      </c>
      <c r="B4">
        <v>10</v>
      </c>
      <c r="C4" t="s">
        <v>30</v>
      </c>
      <c r="D4" t="s">
        <v>31</v>
      </c>
      <c r="E4" t="s">
        <v>32</v>
      </c>
      <c r="F4">
        <v>74825</v>
      </c>
      <c r="G4">
        <v>0</v>
      </c>
      <c r="H4">
        <v>128853.74</v>
      </c>
      <c r="I4">
        <v>203678.74</v>
      </c>
      <c r="J4">
        <v>216218.3</v>
      </c>
      <c r="K4">
        <v>0.0615653847819364</v>
      </c>
    </row>
    <row r="5" spans="1:11">
      <c r="A5">
        <v>2022</v>
      </c>
      <c r="B5">
        <v>9</v>
      </c>
      <c r="C5" t="s">
        <v>30</v>
      </c>
      <c r="D5" t="s">
        <v>31</v>
      </c>
      <c r="E5" t="s">
        <v>32</v>
      </c>
      <c r="F5">
        <v>88995</v>
      </c>
      <c r="G5">
        <v>500</v>
      </c>
      <c r="H5">
        <v>134256.23</v>
      </c>
      <c r="I5">
        <v>223751.23</v>
      </c>
      <c r="J5">
        <v>217860</v>
      </c>
      <c r="K5">
        <v>-0.0263293748150569</v>
      </c>
    </row>
    <row r="6" spans="1:11">
      <c r="A6">
        <v>2022</v>
      </c>
      <c r="B6">
        <v>8</v>
      </c>
      <c r="C6" t="s">
        <v>30</v>
      </c>
      <c r="D6" t="s">
        <v>31</v>
      </c>
      <c r="E6" t="s">
        <v>32</v>
      </c>
      <c r="F6">
        <v>97155</v>
      </c>
      <c r="G6">
        <v>1000</v>
      </c>
      <c r="H6">
        <v>97297.51</v>
      </c>
      <c r="I6">
        <v>195452.51</v>
      </c>
      <c r="J6">
        <v>222631</v>
      </c>
      <c r="K6">
        <v>0.139054187638726</v>
      </c>
    </row>
    <row r="7" spans="1:11">
      <c r="A7">
        <v>2022</v>
      </c>
      <c r="B7">
        <v>7</v>
      </c>
      <c r="C7" t="s">
        <v>30</v>
      </c>
      <c r="D7" t="s">
        <v>31</v>
      </c>
      <c r="E7" t="s">
        <v>32</v>
      </c>
      <c r="F7">
        <v>68990</v>
      </c>
      <c r="G7">
        <v>650</v>
      </c>
      <c r="H7">
        <v>92502.61</v>
      </c>
      <c r="I7">
        <v>162142.61</v>
      </c>
      <c r="J7">
        <v>179085</v>
      </c>
      <c r="K7">
        <v>0.104490670280934</v>
      </c>
    </row>
    <row r="8" spans="1:11">
      <c r="A8">
        <v>2022</v>
      </c>
      <c r="B8">
        <v>6</v>
      </c>
      <c r="C8" t="s">
        <v>30</v>
      </c>
      <c r="D8" t="s">
        <v>31</v>
      </c>
      <c r="E8" t="s">
        <v>32</v>
      </c>
      <c r="F8">
        <v>101170</v>
      </c>
      <c r="G8">
        <v>0</v>
      </c>
      <c r="H8">
        <v>154416</v>
      </c>
      <c r="I8">
        <v>255586</v>
      </c>
      <c r="J8">
        <v>235492.66</v>
      </c>
      <c r="K8">
        <v>-0.0786167473961797</v>
      </c>
    </row>
    <row r="9" spans="1:11">
      <c r="A9">
        <v>2022</v>
      </c>
      <c r="B9">
        <v>5</v>
      </c>
      <c r="C9" t="s">
        <v>30</v>
      </c>
      <c r="D9" t="s">
        <v>31</v>
      </c>
      <c r="E9" t="s">
        <v>32</v>
      </c>
      <c r="F9">
        <v>79775</v>
      </c>
      <c r="G9">
        <v>0</v>
      </c>
      <c r="H9">
        <v>134776</v>
      </c>
      <c r="I9">
        <v>214551</v>
      </c>
      <c r="J9">
        <v>187902.67</v>
      </c>
      <c r="K9">
        <v>-0.124205107410359</v>
      </c>
    </row>
    <row r="10" spans="1:11">
      <c r="A10">
        <v>2022</v>
      </c>
      <c r="B10">
        <v>4</v>
      </c>
      <c r="C10" t="s">
        <v>30</v>
      </c>
      <c r="D10" t="s">
        <v>31</v>
      </c>
      <c r="E10" t="s">
        <v>32</v>
      </c>
      <c r="F10">
        <v>91540</v>
      </c>
      <c r="G10">
        <v>750</v>
      </c>
      <c r="H10">
        <v>134766</v>
      </c>
      <c r="I10">
        <v>227056</v>
      </c>
      <c r="J10">
        <v>199277.67</v>
      </c>
      <c r="K10">
        <v>-0.122341316679586</v>
      </c>
    </row>
    <row r="11" spans="1:11">
      <c r="A11">
        <v>2022</v>
      </c>
      <c r="B11">
        <v>3</v>
      </c>
      <c r="C11" t="s">
        <v>30</v>
      </c>
      <c r="D11" t="s">
        <v>31</v>
      </c>
      <c r="E11" t="s">
        <v>32</v>
      </c>
      <c r="F11">
        <v>77260</v>
      </c>
      <c r="G11">
        <v>0</v>
      </c>
      <c r="H11">
        <v>137046</v>
      </c>
      <c r="I11">
        <v>214306</v>
      </c>
      <c r="J11">
        <v>186397</v>
      </c>
      <c r="K11">
        <v>-0.130229671591089</v>
      </c>
    </row>
    <row r="12" spans="1:11">
      <c r="A12">
        <v>2022</v>
      </c>
      <c r="B12">
        <v>2</v>
      </c>
      <c r="C12" t="s">
        <v>30</v>
      </c>
      <c r="D12" t="s">
        <v>31</v>
      </c>
      <c r="E12" t="s">
        <v>32</v>
      </c>
      <c r="F12">
        <v>70545</v>
      </c>
      <c r="G12">
        <v>0</v>
      </c>
      <c r="H12">
        <v>134926</v>
      </c>
      <c r="I12">
        <v>205471</v>
      </c>
      <c r="J12">
        <v>155552</v>
      </c>
      <c r="K12">
        <v>-0.242949126640743</v>
      </c>
    </row>
    <row r="13" spans="1:11">
      <c r="A13">
        <v>2022</v>
      </c>
      <c r="B13">
        <v>1</v>
      </c>
      <c r="C13" t="s">
        <v>30</v>
      </c>
      <c r="D13" t="s">
        <v>31</v>
      </c>
      <c r="E13" t="s">
        <v>32</v>
      </c>
      <c r="F13">
        <v>53810</v>
      </c>
      <c r="G13">
        <v>0</v>
      </c>
      <c r="H13">
        <v>89420</v>
      </c>
      <c r="I13">
        <v>143230</v>
      </c>
      <c r="J13">
        <v>154156</v>
      </c>
      <c r="K13">
        <v>0.0762829016267541</v>
      </c>
    </row>
    <row r="14" spans="1:11">
      <c r="A14">
        <v>2022</v>
      </c>
      <c r="B14">
        <v>12</v>
      </c>
      <c r="C14" t="s">
        <v>30</v>
      </c>
      <c r="D14" t="s">
        <v>33</v>
      </c>
      <c r="E14" t="s">
        <v>34</v>
      </c>
      <c r="F14">
        <v>67461.35</v>
      </c>
      <c r="G14">
        <v>0</v>
      </c>
      <c r="H14">
        <v>53755.22</v>
      </c>
      <c r="I14">
        <v>121216.57</v>
      </c>
      <c r="J14">
        <v>121055.8</v>
      </c>
      <c r="K14">
        <v>-0.00132630382133403</v>
      </c>
    </row>
    <row r="15" spans="1:11">
      <c r="A15">
        <v>2022</v>
      </c>
      <c r="B15">
        <v>11</v>
      </c>
      <c r="C15" t="s">
        <v>30</v>
      </c>
      <c r="D15" t="s">
        <v>33</v>
      </c>
      <c r="E15" t="s">
        <v>34</v>
      </c>
      <c r="F15">
        <v>66506.25</v>
      </c>
      <c r="G15">
        <v>0</v>
      </c>
      <c r="H15">
        <v>45536.54</v>
      </c>
      <c r="I15">
        <v>112042.79</v>
      </c>
      <c r="J15">
        <v>96271.57</v>
      </c>
      <c r="K15">
        <v>-0.140760686162849</v>
      </c>
    </row>
    <row r="16" spans="1:11">
      <c r="A16">
        <v>2022</v>
      </c>
      <c r="B16">
        <v>10</v>
      </c>
      <c r="C16" t="s">
        <v>30</v>
      </c>
      <c r="D16" t="s">
        <v>33</v>
      </c>
      <c r="E16" t="s">
        <v>34</v>
      </c>
      <c r="F16">
        <v>61683.86</v>
      </c>
      <c r="G16">
        <v>0</v>
      </c>
      <c r="H16">
        <v>46121.96</v>
      </c>
      <c r="I16">
        <v>107805.82</v>
      </c>
      <c r="J16">
        <v>97952.47</v>
      </c>
      <c r="K16">
        <v>-0.0913990543367696</v>
      </c>
    </row>
    <row r="17" spans="1:11">
      <c r="A17">
        <v>2022</v>
      </c>
      <c r="B17">
        <v>9</v>
      </c>
      <c r="C17" t="s">
        <v>30</v>
      </c>
      <c r="D17" t="s">
        <v>33</v>
      </c>
      <c r="E17" t="s">
        <v>34</v>
      </c>
      <c r="F17">
        <v>61977.84</v>
      </c>
      <c r="G17">
        <v>0</v>
      </c>
      <c r="H17">
        <v>51813.35</v>
      </c>
      <c r="I17">
        <v>113791.19</v>
      </c>
      <c r="J17">
        <v>111094.59</v>
      </c>
      <c r="K17">
        <v>-0.0236977924213642</v>
      </c>
    </row>
    <row r="18" spans="1:11">
      <c r="A18">
        <v>2022</v>
      </c>
      <c r="B18">
        <v>8</v>
      </c>
      <c r="C18" t="s">
        <v>30</v>
      </c>
      <c r="D18" t="s">
        <v>33</v>
      </c>
      <c r="E18" t="s">
        <v>34</v>
      </c>
      <c r="F18">
        <v>70057.57</v>
      </c>
      <c r="G18">
        <v>0</v>
      </c>
      <c r="H18">
        <v>51576.0700000002</v>
      </c>
      <c r="I18">
        <v>121633.64</v>
      </c>
      <c r="J18">
        <v>119895.23</v>
      </c>
      <c r="K18">
        <v>-0.014292181011768</v>
      </c>
    </row>
    <row r="19" spans="1:11">
      <c r="A19">
        <v>2022</v>
      </c>
      <c r="B19">
        <v>7</v>
      </c>
      <c r="C19" t="s">
        <v>30</v>
      </c>
      <c r="D19" t="s">
        <v>33</v>
      </c>
      <c r="E19" t="s">
        <v>34</v>
      </c>
      <c r="F19">
        <v>58195.01</v>
      </c>
      <c r="G19">
        <v>0</v>
      </c>
      <c r="H19">
        <v>-2127.92</v>
      </c>
      <c r="I19">
        <v>56067.09</v>
      </c>
      <c r="J19">
        <v>96076.45</v>
      </c>
      <c r="K19">
        <v>0.713597941323511</v>
      </c>
    </row>
    <row r="20" spans="1:11">
      <c r="A20">
        <v>2022</v>
      </c>
      <c r="B20">
        <v>6</v>
      </c>
      <c r="C20" t="s">
        <v>30</v>
      </c>
      <c r="D20" t="s">
        <v>33</v>
      </c>
      <c r="E20" t="s">
        <v>34</v>
      </c>
      <c r="F20">
        <v>75321.21</v>
      </c>
      <c r="G20">
        <v>0</v>
      </c>
      <c r="H20">
        <v>61035</v>
      </c>
      <c r="I20">
        <v>136356.21</v>
      </c>
      <c r="J20">
        <v>156385.85</v>
      </c>
      <c r="K20">
        <v>0.146892026406425</v>
      </c>
    </row>
    <row r="21" spans="1:11">
      <c r="A21">
        <v>2022</v>
      </c>
      <c r="B21">
        <v>5</v>
      </c>
      <c r="C21" t="s">
        <v>30</v>
      </c>
      <c r="D21" t="s">
        <v>33</v>
      </c>
      <c r="E21" t="s">
        <v>34</v>
      </c>
      <c r="F21">
        <v>61188.01</v>
      </c>
      <c r="G21">
        <v>0</v>
      </c>
      <c r="H21">
        <v>57422</v>
      </c>
      <c r="I21">
        <v>118610.01</v>
      </c>
      <c r="J21">
        <v>170543.43</v>
      </c>
      <c r="K21">
        <v>0.437850228661139</v>
      </c>
    </row>
    <row r="22" spans="1:11">
      <c r="A22">
        <v>2022</v>
      </c>
      <c r="B22">
        <v>4</v>
      </c>
      <c r="C22" t="s">
        <v>30</v>
      </c>
      <c r="D22" t="s">
        <v>33</v>
      </c>
      <c r="E22" t="s">
        <v>34</v>
      </c>
      <c r="F22">
        <v>59647.28</v>
      </c>
      <c r="G22">
        <v>0</v>
      </c>
      <c r="H22">
        <v>47348</v>
      </c>
      <c r="I22">
        <v>106995.28</v>
      </c>
      <c r="J22">
        <v>179143.44</v>
      </c>
      <c r="K22">
        <v>0.674311614493649</v>
      </c>
    </row>
    <row r="23" spans="1:11">
      <c r="A23">
        <v>2022</v>
      </c>
      <c r="B23">
        <v>3</v>
      </c>
      <c r="C23" t="s">
        <v>30</v>
      </c>
      <c r="D23" t="s">
        <v>33</v>
      </c>
      <c r="E23" t="s">
        <v>34</v>
      </c>
      <c r="F23">
        <v>54247.98</v>
      </c>
      <c r="G23">
        <v>0</v>
      </c>
      <c r="H23">
        <v>46266</v>
      </c>
      <c r="I23">
        <v>100513.98</v>
      </c>
      <c r="J23">
        <v>168555.28</v>
      </c>
      <c r="K23">
        <v>0.676933696188331</v>
      </c>
    </row>
    <row r="24" spans="1:11">
      <c r="A24">
        <v>2022</v>
      </c>
      <c r="B24">
        <v>2</v>
      </c>
      <c r="C24" t="s">
        <v>30</v>
      </c>
      <c r="D24" t="s">
        <v>33</v>
      </c>
      <c r="E24" t="s">
        <v>34</v>
      </c>
      <c r="F24">
        <v>60783.79</v>
      </c>
      <c r="G24">
        <v>0</v>
      </c>
      <c r="H24">
        <v>46381</v>
      </c>
      <c r="I24">
        <v>107164.79</v>
      </c>
      <c r="J24">
        <v>162941.76</v>
      </c>
      <c r="K24">
        <v>0.520478507912907</v>
      </c>
    </row>
    <row r="25" spans="1:11">
      <c r="A25">
        <v>2022</v>
      </c>
      <c r="B25">
        <v>1</v>
      </c>
      <c r="C25" t="s">
        <v>30</v>
      </c>
      <c r="D25" t="s">
        <v>33</v>
      </c>
      <c r="E25" t="s">
        <v>34</v>
      </c>
      <c r="F25">
        <v>44407.44</v>
      </c>
      <c r="G25">
        <v>0</v>
      </c>
      <c r="H25">
        <v>34379.35</v>
      </c>
      <c r="I25">
        <v>78786.79</v>
      </c>
      <c r="J25">
        <v>151172.11</v>
      </c>
      <c r="K25">
        <v>0.918749450256826</v>
      </c>
    </row>
    <row r="26" spans="1:11">
      <c r="A26">
        <v>2022</v>
      </c>
      <c r="B26">
        <v>12</v>
      </c>
      <c r="C26" t="s">
        <v>30</v>
      </c>
      <c r="D26" t="s">
        <v>33</v>
      </c>
      <c r="E26" t="s">
        <v>35</v>
      </c>
      <c r="F26">
        <v>101956</v>
      </c>
      <c r="G26">
        <v>11720</v>
      </c>
      <c r="H26">
        <v>148104.17</v>
      </c>
      <c r="I26">
        <v>261780.17</v>
      </c>
      <c r="J26">
        <v>310301</v>
      </c>
      <c r="K26">
        <v>0.185349524373829</v>
      </c>
    </row>
    <row r="27" spans="1:11">
      <c r="A27">
        <v>2022</v>
      </c>
      <c r="B27">
        <v>11</v>
      </c>
      <c r="C27" t="s">
        <v>30</v>
      </c>
      <c r="D27" t="s">
        <v>33</v>
      </c>
      <c r="E27" t="s">
        <v>35</v>
      </c>
      <c r="F27">
        <v>112848</v>
      </c>
      <c r="G27">
        <v>1424</v>
      </c>
      <c r="H27">
        <v>171132.14</v>
      </c>
      <c r="I27">
        <v>285404.14</v>
      </c>
      <c r="J27">
        <v>226338</v>
      </c>
      <c r="K27">
        <v>-0.206956142962748</v>
      </c>
    </row>
    <row r="28" spans="1:11">
      <c r="A28">
        <v>2022</v>
      </c>
      <c r="B28">
        <v>10</v>
      </c>
      <c r="C28" t="s">
        <v>30</v>
      </c>
      <c r="D28" t="s">
        <v>33</v>
      </c>
      <c r="E28" t="s">
        <v>35</v>
      </c>
      <c r="F28">
        <v>105428</v>
      </c>
      <c r="G28">
        <v>10000</v>
      </c>
      <c r="H28">
        <v>189045.37</v>
      </c>
      <c r="I28">
        <v>304473.37</v>
      </c>
      <c r="J28">
        <v>219653</v>
      </c>
      <c r="K28">
        <v>-0.278580586538652</v>
      </c>
    </row>
    <row r="29" spans="1:11">
      <c r="A29">
        <v>2022</v>
      </c>
      <c r="B29">
        <v>9</v>
      </c>
      <c r="C29" t="s">
        <v>30</v>
      </c>
      <c r="D29" t="s">
        <v>33</v>
      </c>
      <c r="E29" t="s">
        <v>35</v>
      </c>
      <c r="F29">
        <v>108712</v>
      </c>
      <c r="H29">
        <v>189101.94</v>
      </c>
      <c r="I29">
        <v>297813.94</v>
      </c>
      <c r="J29">
        <v>239999.26</v>
      </c>
      <c r="K29">
        <v>-0.194130200889858</v>
      </c>
    </row>
    <row r="30" spans="1:11">
      <c r="A30">
        <v>2022</v>
      </c>
      <c r="B30">
        <v>8</v>
      </c>
      <c r="C30" t="s">
        <v>30</v>
      </c>
      <c r="D30" t="s">
        <v>33</v>
      </c>
      <c r="E30" t="s">
        <v>35</v>
      </c>
      <c r="F30">
        <v>95972</v>
      </c>
      <c r="H30">
        <v>56406.04</v>
      </c>
      <c r="I30">
        <v>152378.04</v>
      </c>
      <c r="J30">
        <v>251789.34</v>
      </c>
      <c r="K30">
        <v>0.652399125228281</v>
      </c>
    </row>
    <row r="31" spans="1:11">
      <c r="A31">
        <v>2022</v>
      </c>
      <c r="B31">
        <v>7</v>
      </c>
      <c r="C31" t="s">
        <v>30</v>
      </c>
      <c r="D31" t="s">
        <v>33</v>
      </c>
      <c r="E31" t="s">
        <v>35</v>
      </c>
      <c r="F31">
        <v>83576</v>
      </c>
      <c r="G31">
        <v>10000</v>
      </c>
      <c r="H31">
        <v>-5440.21</v>
      </c>
      <c r="I31">
        <v>88135.79</v>
      </c>
      <c r="J31">
        <v>201403.34</v>
      </c>
      <c r="K31">
        <v>1.28514817873647</v>
      </c>
    </row>
    <row r="32" spans="1:11">
      <c r="A32">
        <v>2022</v>
      </c>
      <c r="B32">
        <v>6</v>
      </c>
      <c r="C32" t="s">
        <v>30</v>
      </c>
      <c r="D32" t="s">
        <v>33</v>
      </c>
      <c r="E32" t="s">
        <v>35</v>
      </c>
      <c r="F32">
        <v>130324</v>
      </c>
      <c r="G32">
        <v>10000</v>
      </c>
      <c r="H32">
        <v>117200</v>
      </c>
      <c r="I32">
        <v>257524</v>
      </c>
      <c r="J32">
        <v>302454.34</v>
      </c>
      <c r="K32">
        <v>0.174470495953775</v>
      </c>
    </row>
    <row r="33" spans="1:11">
      <c r="A33">
        <v>2022</v>
      </c>
      <c r="B33">
        <v>5</v>
      </c>
      <c r="C33" t="s">
        <v>30</v>
      </c>
      <c r="D33" t="s">
        <v>33</v>
      </c>
      <c r="E33" t="s">
        <v>35</v>
      </c>
      <c r="F33">
        <v>90992</v>
      </c>
      <c r="G33">
        <v>300</v>
      </c>
      <c r="H33">
        <v>119000</v>
      </c>
      <c r="I33">
        <v>210292</v>
      </c>
      <c r="J33">
        <v>286265.34</v>
      </c>
      <c r="K33">
        <v>0.361275464592091</v>
      </c>
    </row>
    <row r="34" spans="1:11">
      <c r="A34">
        <v>2022</v>
      </c>
      <c r="B34">
        <v>4</v>
      </c>
      <c r="C34" t="s">
        <v>30</v>
      </c>
      <c r="D34" t="s">
        <v>33</v>
      </c>
      <c r="E34" t="s">
        <v>35</v>
      </c>
      <c r="F34">
        <v>95148</v>
      </c>
      <c r="H34">
        <v>141950</v>
      </c>
      <c r="I34">
        <v>237098</v>
      </c>
      <c r="J34">
        <v>279665.34</v>
      </c>
      <c r="K34">
        <v>0.179534791520806</v>
      </c>
    </row>
    <row r="35" spans="1:11">
      <c r="A35">
        <v>2022</v>
      </c>
      <c r="B35">
        <v>3</v>
      </c>
      <c r="C35" t="s">
        <v>30</v>
      </c>
      <c r="D35" t="s">
        <v>33</v>
      </c>
      <c r="E35" t="s">
        <v>35</v>
      </c>
      <c r="F35">
        <v>120392</v>
      </c>
      <c r="G35">
        <v>1524</v>
      </c>
      <c r="H35">
        <v>258100</v>
      </c>
      <c r="I35">
        <v>380016</v>
      </c>
      <c r="J35">
        <v>284264.34</v>
      </c>
      <c r="K35">
        <v>-0.251967443476064</v>
      </c>
    </row>
    <row r="36" spans="1:11">
      <c r="A36">
        <v>2022</v>
      </c>
      <c r="B36">
        <v>2</v>
      </c>
      <c r="C36" t="s">
        <v>30</v>
      </c>
      <c r="D36" t="s">
        <v>33</v>
      </c>
      <c r="E36" t="s">
        <v>35</v>
      </c>
      <c r="F36">
        <v>163640</v>
      </c>
      <c r="G36">
        <v>21048</v>
      </c>
      <c r="H36">
        <v>224900</v>
      </c>
      <c r="I36">
        <v>409588</v>
      </c>
      <c r="J36">
        <v>307473.65</v>
      </c>
      <c r="K36">
        <v>-0.249309916306142</v>
      </c>
    </row>
    <row r="37" spans="1:11">
      <c r="A37">
        <v>2022</v>
      </c>
      <c r="B37">
        <v>1</v>
      </c>
      <c r="C37" t="s">
        <v>30</v>
      </c>
      <c r="D37" t="s">
        <v>33</v>
      </c>
      <c r="E37" t="s">
        <v>35</v>
      </c>
      <c r="F37">
        <v>115976</v>
      </c>
      <c r="G37">
        <v>10000</v>
      </c>
      <c r="H37">
        <v>217550</v>
      </c>
      <c r="I37">
        <v>343526</v>
      </c>
      <c r="J37">
        <v>204627.68</v>
      </c>
      <c r="K37">
        <v>-0.404331316989107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N18" sqref="N18"/>
    </sheetView>
  </sheetViews>
  <sheetFormatPr defaultColWidth="9" defaultRowHeight="14.25"/>
  <cols>
    <col min="3" max="4" width="10.25" customWidth="1"/>
    <col min="6" max="6" width="10.25" customWidth="1"/>
    <col min="7" max="7" width="12.125" customWidth="1"/>
    <col min="8" max="8" width="10.25" customWidth="1"/>
    <col min="10" max="10" width="12.125" customWidth="1"/>
    <col min="13" max="13" width="18.875" customWidth="1"/>
    <col min="14" max="14" width="28.875" customWidth="1"/>
  </cols>
  <sheetData>
    <row r="1" spans="1:13">
      <c r="A1" t="s">
        <v>0</v>
      </c>
      <c r="B1" t="s">
        <v>1</v>
      </c>
      <c r="C1" t="s">
        <v>24</v>
      </c>
      <c r="D1" t="s">
        <v>25</v>
      </c>
      <c r="E1" t="s">
        <v>2</v>
      </c>
      <c r="F1" t="s">
        <v>3</v>
      </c>
      <c r="G1" t="s">
        <v>26</v>
      </c>
      <c r="H1" t="s">
        <v>27</v>
      </c>
      <c r="I1" t="s">
        <v>4</v>
      </c>
      <c r="J1" t="s">
        <v>28</v>
      </c>
      <c r="K1" t="s">
        <v>29</v>
      </c>
    </row>
    <row r="2" spans="1:13">
      <c r="A2">
        <v>2022</v>
      </c>
      <c r="B2">
        <v>12</v>
      </c>
      <c r="C2" t="s">
        <v>30</v>
      </c>
      <c r="D2" t="s">
        <v>31</v>
      </c>
      <c r="E2" t="s">
        <v>32</v>
      </c>
      <c r="F2">
        <v>82935</v>
      </c>
      <c r="H2">
        <v>164395.47</v>
      </c>
      <c r="I2">
        <v>247330.47</v>
      </c>
      <c r="J2">
        <v>242323.4</v>
      </c>
      <c r="K2">
        <v>-0.0202444526952138</v>
      </c>
    </row>
    <row r="3" spans="1:13">
      <c r="A3">
        <v>2022</v>
      </c>
      <c r="B3">
        <v>11</v>
      </c>
      <c r="C3" t="s">
        <v>30</v>
      </c>
      <c r="D3" t="s">
        <v>31</v>
      </c>
      <c r="E3" t="s">
        <v>32</v>
      </c>
      <c r="F3">
        <v>82975</v>
      </c>
      <c r="G3">
        <v>200</v>
      </c>
      <c r="H3">
        <v>135332.51</v>
      </c>
      <c r="I3">
        <v>218507.51</v>
      </c>
      <c r="J3">
        <v>212083.3</v>
      </c>
      <c r="K3">
        <v>-0.0294004082514144</v>
      </c>
    </row>
    <row r="4" spans="1:13">
      <c r="A4">
        <v>2022</v>
      </c>
      <c r="B4">
        <v>10</v>
      </c>
      <c r="C4" t="s">
        <v>30</v>
      </c>
      <c r="D4" t="s">
        <v>31</v>
      </c>
      <c r="E4" t="s">
        <v>32</v>
      </c>
      <c r="F4">
        <v>74825</v>
      </c>
      <c r="G4">
        <v>0</v>
      </c>
      <c r="H4">
        <v>128853.74</v>
      </c>
      <c r="I4">
        <v>203678.74</v>
      </c>
      <c r="J4">
        <v>216218.3</v>
      </c>
      <c r="K4">
        <v>0.0615653847819364</v>
      </c>
    </row>
    <row r="5" spans="1:13">
      <c r="A5">
        <v>2022</v>
      </c>
      <c r="B5">
        <v>9</v>
      </c>
      <c r="C5" t="s">
        <v>30</v>
      </c>
      <c r="D5" t="s">
        <v>31</v>
      </c>
      <c r="E5" t="s">
        <v>32</v>
      </c>
      <c r="F5">
        <v>88995</v>
      </c>
      <c r="G5">
        <v>500</v>
      </c>
      <c r="H5">
        <v>134256.23</v>
      </c>
      <c r="I5">
        <v>223751.23</v>
      </c>
      <c r="J5">
        <v>217860</v>
      </c>
      <c r="K5">
        <v>-0.0263293748150569</v>
      </c>
    </row>
    <row r="6" spans="1:13">
      <c r="A6">
        <v>2022</v>
      </c>
      <c r="B6">
        <v>8</v>
      </c>
      <c r="C6" t="s">
        <v>30</v>
      </c>
      <c r="D6" t="s">
        <v>31</v>
      </c>
      <c r="E6" t="s">
        <v>32</v>
      </c>
      <c r="F6">
        <v>97155</v>
      </c>
      <c r="G6">
        <v>1000</v>
      </c>
      <c r="H6">
        <v>97297.51</v>
      </c>
      <c r="I6">
        <v>195452.51</v>
      </c>
      <c r="J6">
        <v>222631</v>
      </c>
      <c r="K6">
        <v>0.139054187638726</v>
      </c>
    </row>
    <row r="7" spans="1:13">
      <c r="A7">
        <v>2022</v>
      </c>
      <c r="B7">
        <v>7</v>
      </c>
      <c r="C7" t="s">
        <v>30</v>
      </c>
      <c r="D7" t="s">
        <v>31</v>
      </c>
      <c r="E7" t="s">
        <v>32</v>
      </c>
      <c r="F7">
        <v>68990</v>
      </c>
      <c r="G7">
        <v>650</v>
      </c>
      <c r="H7">
        <v>92502.61</v>
      </c>
      <c r="I7">
        <v>162142.61</v>
      </c>
      <c r="J7">
        <v>179085</v>
      </c>
      <c r="K7">
        <v>0.104490670280934</v>
      </c>
    </row>
    <row r="8" spans="1:13">
      <c r="A8">
        <v>2022</v>
      </c>
      <c r="B8">
        <v>6</v>
      </c>
      <c r="C8" t="s">
        <v>30</v>
      </c>
      <c r="D8" t="s">
        <v>31</v>
      </c>
      <c r="E8" t="s">
        <v>32</v>
      </c>
      <c r="F8">
        <v>101170</v>
      </c>
      <c r="G8">
        <v>0</v>
      </c>
      <c r="H8">
        <v>154416</v>
      </c>
      <c r="I8">
        <v>255586</v>
      </c>
      <c r="J8">
        <v>235492.66</v>
      </c>
      <c r="K8">
        <v>-0.0786167473961797</v>
      </c>
    </row>
    <row r="9" spans="1:13">
      <c r="A9">
        <v>2022</v>
      </c>
      <c r="B9">
        <v>5</v>
      </c>
      <c r="C9" t="s">
        <v>30</v>
      </c>
      <c r="D9" t="s">
        <v>31</v>
      </c>
      <c r="E9" t="s">
        <v>32</v>
      </c>
      <c r="F9">
        <v>79775</v>
      </c>
      <c r="G9">
        <v>0</v>
      </c>
      <c r="H9">
        <v>134776</v>
      </c>
      <c r="I9">
        <v>214551</v>
      </c>
      <c r="J9">
        <v>187902.67</v>
      </c>
      <c r="K9">
        <v>-0.124205107410359</v>
      </c>
    </row>
    <row r="10" spans="1:13">
      <c r="A10">
        <v>2022</v>
      </c>
      <c r="B10">
        <v>4</v>
      </c>
      <c r="C10" t="s">
        <v>30</v>
      </c>
      <c r="D10" t="s">
        <v>31</v>
      </c>
      <c r="E10" t="s">
        <v>32</v>
      </c>
      <c r="F10">
        <v>91540</v>
      </c>
      <c r="G10">
        <v>750</v>
      </c>
      <c r="H10">
        <v>134766</v>
      </c>
      <c r="I10">
        <v>227056</v>
      </c>
      <c r="J10">
        <v>199277.67</v>
      </c>
      <c r="K10">
        <v>-0.122341316679586</v>
      </c>
    </row>
    <row r="11" spans="1:13">
      <c r="A11">
        <v>2022</v>
      </c>
      <c r="B11">
        <v>3</v>
      </c>
      <c r="C11" t="s">
        <v>30</v>
      </c>
      <c r="D11" t="s">
        <v>31</v>
      </c>
      <c r="E11" t="s">
        <v>32</v>
      </c>
      <c r="F11">
        <v>77260</v>
      </c>
      <c r="G11">
        <v>0</v>
      </c>
      <c r="H11">
        <v>137046</v>
      </c>
      <c r="I11">
        <v>214306</v>
      </c>
      <c r="J11">
        <v>186397</v>
      </c>
      <c r="K11">
        <v>-0.130229671591089</v>
      </c>
    </row>
    <row r="12" spans="1:13">
      <c r="A12">
        <v>2022</v>
      </c>
      <c r="B12">
        <v>2</v>
      </c>
      <c r="C12" t="s">
        <v>30</v>
      </c>
      <c r="D12" t="s">
        <v>31</v>
      </c>
      <c r="E12" t="s">
        <v>32</v>
      </c>
      <c r="F12">
        <v>70545</v>
      </c>
      <c r="G12">
        <v>0</v>
      </c>
      <c r="H12">
        <v>134926</v>
      </c>
      <c r="I12">
        <v>205471</v>
      </c>
      <c r="J12">
        <v>155552</v>
      </c>
      <c r="K12">
        <v>-0.242949126640743</v>
      </c>
    </row>
    <row r="13" spans="1:13">
      <c r="A13">
        <v>2022</v>
      </c>
      <c r="B13">
        <v>1</v>
      </c>
      <c r="C13" t="s">
        <v>30</v>
      </c>
      <c r="D13" t="s">
        <v>31</v>
      </c>
      <c r="E13" t="s">
        <v>32</v>
      </c>
      <c r="F13">
        <v>53810</v>
      </c>
      <c r="G13">
        <v>0</v>
      </c>
      <c r="H13">
        <v>89420</v>
      </c>
      <c r="I13">
        <v>143230</v>
      </c>
      <c r="J13">
        <v>154156</v>
      </c>
      <c r="K13">
        <v>0.0762829016267541</v>
      </c>
    </row>
    <row r="15" spans="1:13">
      <c r="L15">
        <f>SUM(表8[总收入])</f>
        <v>2511063.07</v>
      </c>
      <c r="M15">
        <f>SUM(表8[去年总收入])</f>
        <v>2408979</v>
      </c>
    </row>
    <row r="17" spans="14:14">
      <c r="N17">
        <f>(L15-M15)/M15</f>
        <v>0.0423764881304486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:K2"/>
    </sheetView>
  </sheetViews>
  <sheetFormatPr defaultColWidth="9" defaultRowHeight="14.25" outlineLevelRow="1"/>
  <cols>
    <col min="3" max="4" width="10.25" customWidth="1"/>
    <col min="6" max="6" width="10.25" customWidth="1"/>
    <col min="7" max="7" width="12.125" customWidth="1"/>
    <col min="8" max="8" width="10.25" customWidth="1"/>
    <col min="10" max="10" width="12.125" customWidth="1"/>
  </cols>
  <sheetData>
    <row r="1" spans="1:11">
      <c r="A1" t="s">
        <v>0</v>
      </c>
      <c r="B1" t="s">
        <v>1</v>
      </c>
      <c r="C1" t="s">
        <v>24</v>
      </c>
      <c r="D1" t="s">
        <v>25</v>
      </c>
      <c r="E1" t="s">
        <v>2</v>
      </c>
      <c r="F1" t="s">
        <v>3</v>
      </c>
      <c r="G1" t="s">
        <v>26</v>
      </c>
      <c r="H1" t="s">
        <v>27</v>
      </c>
      <c r="I1" t="s">
        <v>4</v>
      </c>
      <c r="J1" t="s">
        <v>28</v>
      </c>
      <c r="K1" t="s">
        <v>29</v>
      </c>
    </row>
    <row r="2" spans="1:11">
      <c r="A2">
        <v>2022</v>
      </c>
      <c r="B2">
        <v>4</v>
      </c>
      <c r="C2" t="s">
        <v>30</v>
      </c>
      <c r="D2" t="s">
        <v>33</v>
      </c>
      <c r="E2" t="s">
        <v>34</v>
      </c>
      <c r="F2">
        <v>59647.28</v>
      </c>
      <c r="G2">
        <v>0</v>
      </c>
      <c r="H2">
        <v>47348</v>
      </c>
      <c r="I2">
        <v>106995.28</v>
      </c>
      <c r="J2">
        <v>179143.44</v>
      </c>
      <c r="K2">
        <v>0.674311614493649</v>
      </c>
    </row>
  </sheetData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:K2"/>
    </sheetView>
  </sheetViews>
  <sheetFormatPr defaultColWidth="9" defaultRowHeight="14.25" outlineLevelRow="1"/>
  <cols>
    <col min="3" max="4" width="10.25" customWidth="1"/>
    <col min="6" max="6" width="10.25" customWidth="1"/>
    <col min="7" max="7" width="12.125" customWidth="1"/>
    <col min="8" max="8" width="10.25" customWidth="1"/>
    <col min="10" max="10" width="12.125" customWidth="1"/>
  </cols>
  <sheetData>
    <row r="1" spans="1:11">
      <c r="A1" t="s">
        <v>0</v>
      </c>
      <c r="B1" t="s">
        <v>1</v>
      </c>
      <c r="C1" t="s">
        <v>24</v>
      </c>
      <c r="D1" t="s">
        <v>25</v>
      </c>
      <c r="E1" t="s">
        <v>2</v>
      </c>
      <c r="F1" t="s">
        <v>3</v>
      </c>
      <c r="G1" t="s">
        <v>26</v>
      </c>
      <c r="H1" t="s">
        <v>27</v>
      </c>
      <c r="I1" t="s">
        <v>4</v>
      </c>
      <c r="J1" t="s">
        <v>28</v>
      </c>
      <c r="K1" t="s">
        <v>29</v>
      </c>
    </row>
    <row r="2" spans="1:11">
      <c r="A2">
        <v>2022</v>
      </c>
      <c r="B2">
        <v>4</v>
      </c>
      <c r="C2" t="s">
        <v>30</v>
      </c>
      <c r="D2" t="s">
        <v>31</v>
      </c>
      <c r="E2" t="s">
        <v>32</v>
      </c>
      <c r="F2">
        <v>91540</v>
      </c>
      <c r="G2">
        <v>750</v>
      </c>
      <c r="H2">
        <v>134766</v>
      </c>
      <c r="I2">
        <v>227056</v>
      </c>
      <c r="J2">
        <v>199277.67</v>
      </c>
      <c r="K2">
        <v>-0.122341316679586</v>
      </c>
    </row>
  </sheetData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:K2"/>
    </sheetView>
  </sheetViews>
  <sheetFormatPr defaultColWidth="9" defaultRowHeight="14.25" outlineLevelRow="1"/>
  <cols>
    <col min="3" max="4" width="10.25" customWidth="1"/>
    <col min="6" max="6" width="10.25" customWidth="1"/>
    <col min="7" max="7" width="12.125" customWidth="1"/>
    <col min="8" max="8" width="10.25" customWidth="1"/>
    <col min="10" max="10" width="12.125" customWidth="1"/>
  </cols>
  <sheetData>
    <row r="1" spans="1:11">
      <c r="A1" t="s">
        <v>0</v>
      </c>
      <c r="B1" t="s">
        <v>1</v>
      </c>
      <c r="C1" t="s">
        <v>24</v>
      </c>
      <c r="D1" t="s">
        <v>25</v>
      </c>
      <c r="E1" t="s">
        <v>2</v>
      </c>
      <c r="F1" t="s">
        <v>3</v>
      </c>
      <c r="G1" t="s">
        <v>26</v>
      </c>
      <c r="H1" t="s">
        <v>27</v>
      </c>
      <c r="I1" t="s">
        <v>4</v>
      </c>
      <c r="J1" t="s">
        <v>28</v>
      </c>
      <c r="K1" t="s">
        <v>29</v>
      </c>
    </row>
    <row r="2" spans="1:11">
      <c r="A2">
        <v>2022</v>
      </c>
      <c r="B2">
        <v>4</v>
      </c>
      <c r="C2" t="s">
        <v>30</v>
      </c>
      <c r="D2" t="s">
        <v>31</v>
      </c>
      <c r="E2" t="s">
        <v>32</v>
      </c>
      <c r="F2">
        <v>91540</v>
      </c>
      <c r="G2">
        <v>750</v>
      </c>
      <c r="H2">
        <v>134766</v>
      </c>
      <c r="I2">
        <v>227056</v>
      </c>
      <c r="J2">
        <v>199277.67</v>
      </c>
      <c r="K2">
        <v>-0.122341316679586</v>
      </c>
    </row>
  </sheetData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F31" sqref="F31"/>
    </sheetView>
  </sheetViews>
  <sheetFormatPr defaultColWidth="9" defaultRowHeight="14.25"/>
  <cols>
    <col min="3" max="4" width="10.25" customWidth="1"/>
    <col min="6" max="6" width="10.25" customWidth="1"/>
    <col min="7" max="7" width="12.125" customWidth="1"/>
    <col min="8" max="8" width="10.25" customWidth="1"/>
    <col min="10" max="10" width="12.125" customWidth="1"/>
  </cols>
  <sheetData>
    <row r="1" spans="1:11">
      <c r="A1" t="s">
        <v>0</v>
      </c>
      <c r="B1" t="s">
        <v>1</v>
      </c>
      <c r="C1" t="s">
        <v>24</v>
      </c>
      <c r="D1" t="s">
        <v>25</v>
      </c>
      <c r="E1" t="s">
        <v>2</v>
      </c>
      <c r="F1" t="s">
        <v>3</v>
      </c>
      <c r="G1" t="s">
        <v>26</v>
      </c>
      <c r="H1" t="s">
        <v>27</v>
      </c>
      <c r="I1" t="s">
        <v>4</v>
      </c>
      <c r="J1" t="s">
        <v>28</v>
      </c>
      <c r="K1" t="s">
        <v>29</v>
      </c>
    </row>
  </sheetData>
  <pageMargins left="0.7" right="0.7" top="0.75" bottom="0.75" header="0.3" footer="0.3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A1:H13"/>
    </sheetView>
  </sheetViews>
  <sheetFormatPr defaultColWidth="9" defaultRowHeight="14.25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1</v>
      </c>
      <c r="C2" t="s">
        <v>35</v>
      </c>
      <c r="D2">
        <v>115976</v>
      </c>
      <c r="E2">
        <v>343526</v>
      </c>
      <c r="F2">
        <v>100</v>
      </c>
      <c r="G2">
        <v>5</v>
      </c>
      <c r="H2">
        <v>274820.8</v>
      </c>
    </row>
    <row r="3" spans="1:8">
      <c r="A3">
        <v>2022</v>
      </c>
      <c r="B3">
        <v>2</v>
      </c>
      <c r="C3" t="s">
        <v>35</v>
      </c>
      <c r="D3">
        <v>163640</v>
      </c>
      <c r="E3">
        <v>409588</v>
      </c>
      <c r="F3">
        <v>100</v>
      </c>
      <c r="G3">
        <v>5</v>
      </c>
      <c r="H3">
        <v>327670.4</v>
      </c>
    </row>
    <row r="4" spans="1:8">
      <c r="A4">
        <v>2022</v>
      </c>
      <c r="B4">
        <v>3</v>
      </c>
      <c r="C4" t="s">
        <v>35</v>
      </c>
      <c r="D4">
        <v>120392</v>
      </c>
      <c r="E4">
        <v>380016</v>
      </c>
      <c r="F4">
        <v>100</v>
      </c>
      <c r="G4">
        <v>5</v>
      </c>
      <c r="H4">
        <v>304012.8</v>
      </c>
    </row>
    <row r="5" spans="1:8">
      <c r="A5">
        <v>2022</v>
      </c>
      <c r="B5">
        <v>4</v>
      </c>
      <c r="C5" t="s">
        <v>35</v>
      </c>
      <c r="D5">
        <v>95148</v>
      </c>
      <c r="E5">
        <v>237098</v>
      </c>
      <c r="F5">
        <v>100</v>
      </c>
      <c r="G5">
        <v>5</v>
      </c>
      <c r="H5">
        <v>189678.4</v>
      </c>
    </row>
    <row r="6" spans="1:8">
      <c r="A6">
        <v>2022</v>
      </c>
      <c r="B6">
        <v>5</v>
      </c>
      <c r="C6" t="s">
        <v>35</v>
      </c>
      <c r="D6">
        <v>90992</v>
      </c>
      <c r="E6">
        <v>210292</v>
      </c>
      <c r="F6">
        <v>100</v>
      </c>
      <c r="G6">
        <v>5</v>
      </c>
      <c r="H6">
        <v>168233.6</v>
      </c>
    </row>
    <row r="7" spans="1:8">
      <c r="A7">
        <v>2022</v>
      </c>
      <c r="B7">
        <v>6</v>
      </c>
      <c r="C7" t="s">
        <v>35</v>
      </c>
      <c r="D7">
        <v>130324</v>
      </c>
      <c r="E7">
        <v>257524</v>
      </c>
      <c r="F7">
        <v>100</v>
      </c>
      <c r="G7">
        <v>5</v>
      </c>
      <c r="H7">
        <v>206019.2</v>
      </c>
    </row>
    <row r="8" spans="1:8">
      <c r="A8">
        <v>2022</v>
      </c>
      <c r="B8">
        <v>7</v>
      </c>
      <c r="C8" t="s">
        <v>35</v>
      </c>
      <c r="D8">
        <v>83576</v>
      </c>
      <c r="E8">
        <v>88135.79</v>
      </c>
      <c r="F8">
        <v>100</v>
      </c>
      <c r="G8">
        <v>5</v>
      </c>
      <c r="H8">
        <v>70508.632</v>
      </c>
    </row>
    <row r="9" spans="1:8">
      <c r="A9">
        <v>2022</v>
      </c>
      <c r="B9">
        <v>8</v>
      </c>
      <c r="C9" t="s">
        <v>35</v>
      </c>
      <c r="D9">
        <v>95972</v>
      </c>
      <c r="E9">
        <v>152378.04</v>
      </c>
      <c r="F9">
        <v>100</v>
      </c>
      <c r="G9">
        <v>5</v>
      </c>
      <c r="H9">
        <v>121902.432</v>
      </c>
    </row>
    <row r="10" spans="1:8">
      <c r="A10">
        <v>2022</v>
      </c>
      <c r="B10">
        <v>9</v>
      </c>
      <c r="C10" t="s">
        <v>35</v>
      </c>
      <c r="D10">
        <v>108712</v>
      </c>
      <c r="E10">
        <v>297813.94</v>
      </c>
      <c r="F10">
        <v>100</v>
      </c>
      <c r="G10">
        <v>5</v>
      </c>
      <c r="H10">
        <v>238251.152</v>
      </c>
    </row>
    <row r="11" spans="1:8">
      <c r="A11">
        <v>2022</v>
      </c>
      <c r="B11">
        <v>10</v>
      </c>
      <c r="C11" t="s">
        <v>35</v>
      </c>
      <c r="D11">
        <v>105428</v>
      </c>
      <c r="E11">
        <v>304473.37</v>
      </c>
      <c r="F11">
        <v>100</v>
      </c>
      <c r="G11">
        <v>5</v>
      </c>
      <c r="H11">
        <v>243578.696</v>
      </c>
    </row>
    <row r="12" spans="1:8">
      <c r="A12">
        <v>2022</v>
      </c>
      <c r="B12">
        <v>11</v>
      </c>
      <c r="C12" t="s">
        <v>35</v>
      </c>
      <c r="D12">
        <v>112848</v>
      </c>
      <c r="E12">
        <v>285404.14</v>
      </c>
      <c r="F12">
        <v>100</v>
      </c>
      <c r="G12">
        <v>5</v>
      </c>
      <c r="H12">
        <v>228323.312</v>
      </c>
    </row>
    <row r="13" spans="1:8">
      <c r="A13">
        <v>2022</v>
      </c>
      <c r="B13">
        <v>12</v>
      </c>
      <c r="C13" t="s">
        <v>35</v>
      </c>
      <c r="D13">
        <v>101956</v>
      </c>
      <c r="E13">
        <v>261780.17</v>
      </c>
      <c r="F13">
        <v>100</v>
      </c>
      <c r="G13">
        <v>5</v>
      </c>
      <c r="H13">
        <v>209424.136</v>
      </c>
    </row>
  </sheetData>
  <pageMargins left="0.7" right="0.7" top="0.75" bottom="0.75" header="0.3" footer="0.3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16" sqref="H16"/>
    </sheetView>
  </sheetViews>
  <sheetFormatPr defaultColWidth="9" defaultRowHeight="14.25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1</v>
      </c>
      <c r="C2" t="s">
        <v>35</v>
      </c>
      <c r="D2">
        <v>115976</v>
      </c>
      <c r="E2">
        <v>343526</v>
      </c>
      <c r="F2">
        <v>100</v>
      </c>
      <c r="G2">
        <v>5</v>
      </c>
      <c r="H2">
        <v>274820.8</v>
      </c>
    </row>
    <row r="3" spans="1:8">
      <c r="A3">
        <v>2022</v>
      </c>
      <c r="B3">
        <v>2</v>
      </c>
      <c r="C3" t="s">
        <v>35</v>
      </c>
      <c r="D3">
        <v>163640</v>
      </c>
      <c r="E3">
        <v>409588</v>
      </c>
      <c r="F3">
        <v>100</v>
      </c>
      <c r="G3">
        <v>5</v>
      </c>
      <c r="H3">
        <v>327670.4</v>
      </c>
    </row>
    <row r="4" spans="1:8">
      <c r="A4">
        <v>2022</v>
      </c>
      <c r="B4">
        <v>3</v>
      </c>
      <c r="C4" t="s">
        <v>35</v>
      </c>
      <c r="D4">
        <v>120392</v>
      </c>
      <c r="E4">
        <v>380016</v>
      </c>
      <c r="F4">
        <v>100</v>
      </c>
      <c r="G4">
        <v>5</v>
      </c>
      <c r="H4">
        <v>304012.8</v>
      </c>
    </row>
    <row r="5" spans="1:8">
      <c r="A5">
        <v>2022</v>
      </c>
      <c r="B5">
        <v>4</v>
      </c>
      <c r="C5" t="s">
        <v>35</v>
      </c>
      <c r="D5">
        <v>95148</v>
      </c>
      <c r="E5">
        <v>237098</v>
      </c>
      <c r="F5">
        <v>100</v>
      </c>
      <c r="G5">
        <v>5</v>
      </c>
      <c r="H5">
        <v>189678.4</v>
      </c>
    </row>
    <row r="6" spans="1:8">
      <c r="A6">
        <v>2022</v>
      </c>
      <c r="B6">
        <v>5</v>
      </c>
      <c r="C6" t="s">
        <v>35</v>
      </c>
      <c r="D6">
        <v>90992</v>
      </c>
      <c r="E6">
        <v>210292</v>
      </c>
      <c r="F6">
        <v>100</v>
      </c>
      <c r="G6">
        <v>5</v>
      </c>
      <c r="H6">
        <v>168233.6</v>
      </c>
    </row>
    <row r="7" spans="1:8">
      <c r="A7">
        <v>2022</v>
      </c>
      <c r="B7">
        <v>6</v>
      </c>
      <c r="C7" t="s">
        <v>35</v>
      </c>
      <c r="D7">
        <v>130324</v>
      </c>
      <c r="E7">
        <v>257524</v>
      </c>
      <c r="F7">
        <v>100</v>
      </c>
      <c r="G7">
        <v>5</v>
      </c>
      <c r="H7">
        <v>206019.2</v>
      </c>
    </row>
    <row r="8" spans="1:8">
      <c r="A8">
        <v>2022</v>
      </c>
      <c r="B8">
        <v>7</v>
      </c>
      <c r="C8" t="s">
        <v>35</v>
      </c>
      <c r="D8">
        <v>83576</v>
      </c>
      <c r="E8">
        <v>88135.79</v>
      </c>
      <c r="F8">
        <v>100</v>
      </c>
      <c r="G8">
        <v>5</v>
      </c>
      <c r="H8">
        <v>70508.632</v>
      </c>
    </row>
    <row r="9" spans="1:8">
      <c r="A9">
        <v>2022</v>
      </c>
      <c r="B9">
        <v>8</v>
      </c>
      <c r="C9" t="s">
        <v>35</v>
      </c>
      <c r="D9">
        <v>95972</v>
      </c>
      <c r="E9">
        <v>152378.04</v>
      </c>
      <c r="F9">
        <v>100</v>
      </c>
      <c r="G9">
        <v>5</v>
      </c>
      <c r="H9">
        <v>121902.432</v>
      </c>
    </row>
    <row r="10" spans="1:8">
      <c r="A10">
        <v>2022</v>
      </c>
      <c r="B10">
        <v>9</v>
      </c>
      <c r="C10" t="s">
        <v>35</v>
      </c>
      <c r="D10">
        <v>108712</v>
      </c>
      <c r="E10">
        <v>297813.94</v>
      </c>
      <c r="F10">
        <v>100</v>
      </c>
      <c r="G10">
        <v>5</v>
      </c>
      <c r="H10">
        <v>238251.152</v>
      </c>
    </row>
    <row r="11" spans="1:8">
      <c r="A11">
        <v>2022</v>
      </c>
      <c r="B11">
        <v>10</v>
      </c>
      <c r="C11" t="s">
        <v>35</v>
      </c>
      <c r="D11">
        <v>105428</v>
      </c>
      <c r="E11">
        <v>304473.37</v>
      </c>
      <c r="F11">
        <v>100</v>
      </c>
      <c r="G11">
        <v>5</v>
      </c>
      <c r="H11">
        <v>243578.696</v>
      </c>
    </row>
    <row r="12" spans="1:8">
      <c r="A12">
        <v>2022</v>
      </c>
      <c r="B12">
        <v>11</v>
      </c>
      <c r="C12" t="s">
        <v>35</v>
      </c>
      <c r="D12">
        <v>112848</v>
      </c>
      <c r="E12">
        <v>285404.14</v>
      </c>
      <c r="F12">
        <v>100</v>
      </c>
      <c r="G12">
        <v>5</v>
      </c>
      <c r="H12">
        <v>228323.312</v>
      </c>
    </row>
    <row r="13" spans="1:8">
      <c r="A13">
        <v>2022</v>
      </c>
      <c r="B13">
        <v>12</v>
      </c>
      <c r="C13" t="s">
        <v>35</v>
      </c>
      <c r="D13">
        <v>101956</v>
      </c>
      <c r="E13">
        <v>261780.17</v>
      </c>
      <c r="F13">
        <v>100</v>
      </c>
      <c r="G13">
        <v>5</v>
      </c>
      <c r="H13">
        <v>209424.136</v>
      </c>
    </row>
    <row r="16" spans="1:8">
      <c r="H16">
        <f>SUM(表16[预测收入])</f>
        <v>2582423.56</v>
      </c>
    </row>
  </sheetData>
  <pageMargins left="0.7" right="0.7" top="0.75" bottom="0.75" header="0.3" footer="0.3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F23" sqref="F23"/>
    </sheetView>
  </sheetViews>
  <sheetFormatPr defaultColWidth="9" defaultRowHeight="14.25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1</v>
      </c>
      <c r="C2" t="s">
        <v>35</v>
      </c>
      <c r="D2">
        <v>115976</v>
      </c>
      <c r="E2">
        <v>343526</v>
      </c>
      <c r="F2">
        <v>100</v>
      </c>
      <c r="G2">
        <v>5</v>
      </c>
      <c r="H2">
        <v>274820.8</v>
      </c>
    </row>
    <row r="3" spans="1:8">
      <c r="A3">
        <v>2022</v>
      </c>
      <c r="B3">
        <v>2</v>
      </c>
      <c r="C3" t="s">
        <v>35</v>
      </c>
      <c r="D3">
        <v>163640</v>
      </c>
      <c r="E3">
        <v>409588</v>
      </c>
      <c r="F3">
        <v>100</v>
      </c>
      <c r="G3">
        <v>5</v>
      </c>
      <c r="H3">
        <v>327670.4</v>
      </c>
    </row>
    <row r="4" spans="1:8">
      <c r="A4">
        <v>2022</v>
      </c>
      <c r="B4">
        <v>3</v>
      </c>
      <c r="C4" t="s">
        <v>35</v>
      </c>
      <c r="D4">
        <v>120392</v>
      </c>
      <c r="E4">
        <v>380016</v>
      </c>
      <c r="F4">
        <v>100</v>
      </c>
      <c r="G4">
        <v>5</v>
      </c>
      <c r="H4">
        <v>304012.8</v>
      </c>
    </row>
    <row r="5" spans="1:8">
      <c r="A5">
        <v>2022</v>
      </c>
      <c r="B5">
        <v>4</v>
      </c>
      <c r="C5" t="s">
        <v>35</v>
      </c>
      <c r="D5">
        <v>95148</v>
      </c>
      <c r="E5">
        <v>237098</v>
      </c>
      <c r="F5">
        <v>100</v>
      </c>
      <c r="G5">
        <v>5</v>
      </c>
      <c r="H5">
        <v>189678.4</v>
      </c>
    </row>
    <row r="6" spans="1:8">
      <c r="A6">
        <v>2022</v>
      </c>
      <c r="B6">
        <v>5</v>
      </c>
      <c r="C6" t="s">
        <v>35</v>
      </c>
      <c r="D6">
        <v>90992</v>
      </c>
      <c r="E6">
        <v>210292</v>
      </c>
      <c r="F6">
        <v>100</v>
      </c>
      <c r="G6">
        <v>5</v>
      </c>
      <c r="H6">
        <v>168233.6</v>
      </c>
    </row>
    <row r="7" spans="1:8">
      <c r="A7">
        <v>2022</v>
      </c>
      <c r="B7">
        <v>6</v>
      </c>
      <c r="C7" t="s">
        <v>35</v>
      </c>
      <c r="D7">
        <v>130324</v>
      </c>
      <c r="E7">
        <v>257524</v>
      </c>
      <c r="F7">
        <v>100</v>
      </c>
      <c r="G7">
        <v>5</v>
      </c>
      <c r="H7">
        <v>206019.2</v>
      </c>
    </row>
    <row r="8" spans="1:8">
      <c r="A8">
        <v>2022</v>
      </c>
      <c r="B8">
        <v>7</v>
      </c>
      <c r="C8" t="s">
        <v>35</v>
      </c>
      <c r="D8">
        <v>83576</v>
      </c>
      <c r="E8">
        <v>88135.79</v>
      </c>
      <c r="F8">
        <v>100</v>
      </c>
      <c r="G8">
        <v>5</v>
      </c>
      <c r="H8">
        <v>70508.632</v>
      </c>
    </row>
    <row r="9" spans="1:8">
      <c r="A9">
        <v>2022</v>
      </c>
      <c r="B9">
        <v>8</v>
      </c>
      <c r="C9" t="s">
        <v>35</v>
      </c>
      <c r="D9">
        <v>95972</v>
      </c>
      <c r="E9">
        <v>152378.04</v>
      </c>
      <c r="F9">
        <v>100</v>
      </c>
      <c r="G9">
        <v>5</v>
      </c>
      <c r="H9">
        <v>121902.432</v>
      </c>
    </row>
    <row r="10" spans="1:8">
      <c r="A10">
        <v>2022</v>
      </c>
      <c r="B10">
        <v>9</v>
      </c>
      <c r="C10" t="s">
        <v>35</v>
      </c>
      <c r="D10">
        <v>108712</v>
      </c>
      <c r="E10">
        <v>297813.94</v>
      </c>
      <c r="F10">
        <v>100</v>
      </c>
      <c r="G10">
        <v>5</v>
      </c>
      <c r="H10">
        <v>238251.152</v>
      </c>
    </row>
    <row r="11" spans="1:8">
      <c r="A11">
        <v>2022</v>
      </c>
      <c r="B11">
        <v>10</v>
      </c>
      <c r="C11" t="s">
        <v>35</v>
      </c>
      <c r="D11">
        <v>105428</v>
      </c>
      <c r="E11">
        <v>304473.37</v>
      </c>
      <c r="F11">
        <v>100</v>
      </c>
      <c r="G11">
        <v>5</v>
      </c>
      <c r="H11">
        <v>243578.696</v>
      </c>
    </row>
    <row r="12" spans="1:8">
      <c r="A12">
        <v>2022</v>
      </c>
      <c r="B12">
        <v>11</v>
      </c>
      <c r="C12" t="s">
        <v>35</v>
      </c>
      <c r="D12">
        <v>112848</v>
      </c>
      <c r="E12">
        <v>285404.14</v>
      </c>
      <c r="F12">
        <v>100</v>
      </c>
      <c r="G12">
        <v>5</v>
      </c>
      <c r="H12">
        <v>228323.312</v>
      </c>
    </row>
    <row r="13" spans="1:8">
      <c r="A13">
        <v>2022</v>
      </c>
      <c r="B13">
        <v>12</v>
      </c>
      <c r="C13" t="s">
        <v>35</v>
      </c>
      <c r="D13">
        <v>101956</v>
      </c>
      <c r="E13">
        <v>261780.17</v>
      </c>
      <c r="F13">
        <v>100</v>
      </c>
      <c r="G13">
        <v>5</v>
      </c>
      <c r="H13">
        <v>209424.136</v>
      </c>
    </row>
  </sheetData>
  <pageMargins left="0.7" right="0.7" top="0.75" bottom="0.75" header="0.3" footer="0.3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A1:H13"/>
    </sheetView>
  </sheetViews>
  <sheetFormatPr defaultColWidth="9" defaultRowHeight="14.25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1</v>
      </c>
      <c r="C2" t="s">
        <v>35</v>
      </c>
      <c r="D2">
        <v>115976</v>
      </c>
      <c r="E2">
        <v>343526</v>
      </c>
      <c r="F2">
        <v>100</v>
      </c>
      <c r="G2">
        <v>5</v>
      </c>
      <c r="H2">
        <v>274820.8</v>
      </c>
    </row>
    <row r="3" spans="1:8">
      <c r="A3">
        <v>2022</v>
      </c>
      <c r="B3">
        <v>2</v>
      </c>
      <c r="C3" t="s">
        <v>35</v>
      </c>
      <c r="D3">
        <v>163640</v>
      </c>
      <c r="E3">
        <v>409588</v>
      </c>
      <c r="F3">
        <v>100</v>
      </c>
      <c r="G3">
        <v>5</v>
      </c>
      <c r="H3">
        <v>327670.4</v>
      </c>
    </row>
    <row r="4" spans="1:8">
      <c r="A4">
        <v>2022</v>
      </c>
      <c r="B4">
        <v>3</v>
      </c>
      <c r="C4" t="s">
        <v>35</v>
      </c>
      <c r="D4">
        <v>120392</v>
      </c>
      <c r="E4">
        <v>380016</v>
      </c>
      <c r="F4">
        <v>100</v>
      </c>
      <c r="G4">
        <v>5</v>
      </c>
      <c r="H4">
        <v>304012.8</v>
      </c>
    </row>
    <row r="5" spans="1:8">
      <c r="A5">
        <v>2022</v>
      </c>
      <c r="B5">
        <v>4</v>
      </c>
      <c r="C5" t="s">
        <v>35</v>
      </c>
      <c r="D5">
        <v>95148</v>
      </c>
      <c r="E5">
        <v>237098</v>
      </c>
      <c r="F5">
        <v>100</v>
      </c>
      <c r="G5">
        <v>5</v>
      </c>
      <c r="H5">
        <v>189678.4</v>
      </c>
    </row>
    <row r="6" spans="1:8">
      <c r="A6">
        <v>2022</v>
      </c>
      <c r="B6">
        <v>5</v>
      </c>
      <c r="C6" t="s">
        <v>35</v>
      </c>
      <c r="D6">
        <v>90992</v>
      </c>
      <c r="E6">
        <v>210292</v>
      </c>
      <c r="F6">
        <v>100</v>
      </c>
      <c r="G6">
        <v>5</v>
      </c>
      <c r="H6">
        <v>168233.6</v>
      </c>
    </row>
    <row r="7" spans="1:8">
      <c r="A7">
        <v>2022</v>
      </c>
      <c r="B7">
        <v>6</v>
      </c>
      <c r="C7" t="s">
        <v>35</v>
      </c>
      <c r="D7">
        <v>130324</v>
      </c>
      <c r="E7">
        <v>257524</v>
      </c>
      <c r="F7">
        <v>100</v>
      </c>
      <c r="G7">
        <v>5</v>
      </c>
      <c r="H7">
        <v>206019.2</v>
      </c>
    </row>
    <row r="8" spans="1:8">
      <c r="A8">
        <v>2022</v>
      </c>
      <c r="B8">
        <v>7</v>
      </c>
      <c r="C8" t="s">
        <v>35</v>
      </c>
      <c r="D8">
        <v>83576</v>
      </c>
      <c r="E8">
        <v>88135.79</v>
      </c>
      <c r="F8">
        <v>100</v>
      </c>
      <c r="G8">
        <v>5</v>
      </c>
      <c r="H8">
        <v>70508.632</v>
      </c>
    </row>
    <row r="9" spans="1:8">
      <c r="A9">
        <v>2022</v>
      </c>
      <c r="B9">
        <v>8</v>
      </c>
      <c r="C9" t="s">
        <v>35</v>
      </c>
      <c r="D9">
        <v>95972</v>
      </c>
      <c r="E9">
        <v>152378.04</v>
      </c>
      <c r="F9">
        <v>100</v>
      </c>
      <c r="G9">
        <v>5</v>
      </c>
      <c r="H9">
        <v>121902.432</v>
      </c>
    </row>
    <row r="10" spans="1:8">
      <c r="A10">
        <v>2022</v>
      </c>
      <c r="B10">
        <v>9</v>
      </c>
      <c r="C10" t="s">
        <v>35</v>
      </c>
      <c r="D10">
        <v>108712</v>
      </c>
      <c r="E10">
        <v>297813.94</v>
      </c>
      <c r="F10">
        <v>100</v>
      </c>
      <c r="G10">
        <v>5</v>
      </c>
      <c r="H10">
        <v>238251.152</v>
      </c>
    </row>
    <row r="11" spans="1:8">
      <c r="A11">
        <v>2022</v>
      </c>
      <c r="B11">
        <v>10</v>
      </c>
      <c r="C11" t="s">
        <v>35</v>
      </c>
      <c r="D11">
        <v>105428</v>
      </c>
      <c r="E11">
        <v>304473.37</v>
      </c>
      <c r="F11">
        <v>100</v>
      </c>
      <c r="G11">
        <v>5</v>
      </c>
      <c r="H11">
        <v>243578.696</v>
      </c>
    </row>
    <row r="12" spans="1:8">
      <c r="A12">
        <v>2022</v>
      </c>
      <c r="B12">
        <v>11</v>
      </c>
      <c r="C12" t="s">
        <v>35</v>
      </c>
      <c r="D12">
        <v>112848</v>
      </c>
      <c r="E12">
        <v>285404.14</v>
      </c>
      <c r="F12">
        <v>100</v>
      </c>
      <c r="G12">
        <v>5</v>
      </c>
      <c r="H12">
        <v>228323.312</v>
      </c>
    </row>
    <row r="13" spans="1:8">
      <c r="A13">
        <v>2022</v>
      </c>
      <c r="B13">
        <v>12</v>
      </c>
      <c r="C13" t="s">
        <v>35</v>
      </c>
      <c r="D13">
        <v>101956</v>
      </c>
      <c r="E13">
        <v>261780.17</v>
      </c>
      <c r="F13">
        <v>100</v>
      </c>
      <c r="G13">
        <v>5</v>
      </c>
      <c r="H13">
        <v>209424.136</v>
      </c>
    </row>
  </sheetData>
  <pageMargins left="0.7" right="0.7" top="0.75" bottom="0.75" header="0.3" footer="0.3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7"/>
  <sheetViews>
    <sheetView workbookViewId="0">
      <selection activeCell="A1" sqref="A1:H157"/>
    </sheetView>
  </sheetViews>
  <sheetFormatPr defaultColWidth="9" defaultRowHeight="14.25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1</v>
      </c>
      <c r="C2" t="s">
        <v>35</v>
      </c>
      <c r="D2">
        <v>115976</v>
      </c>
      <c r="E2">
        <v>343526</v>
      </c>
      <c r="F2">
        <v>100</v>
      </c>
      <c r="G2">
        <v>5</v>
      </c>
      <c r="H2">
        <v>687.052</v>
      </c>
    </row>
    <row r="3" spans="1:8">
      <c r="A3">
        <v>2022</v>
      </c>
      <c r="B3">
        <v>2</v>
      </c>
      <c r="C3" t="s">
        <v>35</v>
      </c>
      <c r="D3">
        <v>163640</v>
      </c>
      <c r="E3">
        <v>409588</v>
      </c>
      <c r="F3">
        <v>100</v>
      </c>
      <c r="G3">
        <v>5</v>
      </c>
      <c r="H3">
        <v>819.176</v>
      </c>
    </row>
    <row r="4" spans="1:8">
      <c r="A4">
        <v>2022</v>
      </c>
      <c r="B4">
        <v>3</v>
      </c>
      <c r="C4" t="s">
        <v>35</v>
      </c>
      <c r="D4">
        <v>120392</v>
      </c>
      <c r="E4">
        <v>380016</v>
      </c>
      <c r="F4">
        <v>100</v>
      </c>
      <c r="G4">
        <v>5</v>
      </c>
      <c r="H4">
        <v>760.032</v>
      </c>
    </row>
    <row r="5" spans="1:8">
      <c r="A5">
        <v>2022</v>
      </c>
      <c r="B5">
        <v>4</v>
      </c>
      <c r="C5" t="s">
        <v>35</v>
      </c>
      <c r="D5">
        <v>95148</v>
      </c>
      <c r="E5">
        <v>237098</v>
      </c>
      <c r="F5">
        <v>100</v>
      </c>
      <c r="G5">
        <v>5</v>
      </c>
      <c r="H5">
        <v>474.196</v>
      </c>
    </row>
    <row r="6" spans="1:8">
      <c r="A6">
        <v>2022</v>
      </c>
      <c r="B6">
        <v>5</v>
      </c>
      <c r="C6" t="s">
        <v>35</v>
      </c>
      <c r="D6">
        <v>90992</v>
      </c>
      <c r="E6">
        <v>210292</v>
      </c>
      <c r="F6">
        <v>100</v>
      </c>
      <c r="G6">
        <v>5</v>
      </c>
      <c r="H6">
        <v>420.584</v>
      </c>
    </row>
    <row r="7" spans="1:8">
      <c r="A7">
        <v>2022</v>
      </c>
      <c r="B7">
        <v>6</v>
      </c>
      <c r="C7" t="s">
        <v>35</v>
      </c>
      <c r="D7">
        <v>130324</v>
      </c>
      <c r="E7">
        <v>257524</v>
      </c>
      <c r="F7">
        <v>100</v>
      </c>
      <c r="G7">
        <v>5</v>
      </c>
      <c r="H7">
        <v>515.048</v>
      </c>
    </row>
    <row r="8" spans="1:8">
      <c r="A8">
        <v>2022</v>
      </c>
      <c r="B8">
        <v>7</v>
      </c>
      <c r="C8" t="s">
        <v>35</v>
      </c>
      <c r="D8">
        <v>83576</v>
      </c>
      <c r="E8">
        <v>88135.79</v>
      </c>
      <c r="F8">
        <v>100</v>
      </c>
      <c r="G8">
        <v>5</v>
      </c>
      <c r="H8">
        <v>176.27158</v>
      </c>
    </row>
    <row r="9" spans="1:8">
      <c r="A9">
        <v>2022</v>
      </c>
      <c r="B9">
        <v>8</v>
      </c>
      <c r="C9" t="s">
        <v>35</v>
      </c>
      <c r="D9">
        <v>95972</v>
      </c>
      <c r="E9">
        <v>152378.04</v>
      </c>
      <c r="F9">
        <v>100</v>
      </c>
      <c r="G9">
        <v>5</v>
      </c>
      <c r="H9">
        <v>304.75608</v>
      </c>
    </row>
    <row r="10" spans="1:8">
      <c r="A10">
        <v>2022</v>
      </c>
      <c r="B10">
        <v>9</v>
      </c>
      <c r="C10" t="s">
        <v>35</v>
      </c>
      <c r="D10">
        <v>108712</v>
      </c>
      <c r="E10">
        <v>297813.94</v>
      </c>
      <c r="F10">
        <v>100</v>
      </c>
      <c r="G10">
        <v>5</v>
      </c>
      <c r="H10">
        <v>595.62788</v>
      </c>
    </row>
    <row r="11" spans="1:8">
      <c r="A11">
        <v>2022</v>
      </c>
      <c r="B11">
        <v>10</v>
      </c>
      <c r="C11" t="s">
        <v>35</v>
      </c>
      <c r="D11">
        <v>105428</v>
      </c>
      <c r="E11">
        <v>304473.37</v>
      </c>
      <c r="F11">
        <v>100</v>
      </c>
      <c r="G11">
        <v>5</v>
      </c>
      <c r="H11">
        <v>608.94674</v>
      </c>
    </row>
    <row r="12" spans="1:8">
      <c r="A12">
        <v>2022</v>
      </c>
      <c r="B12">
        <v>11</v>
      </c>
      <c r="C12" t="s">
        <v>35</v>
      </c>
      <c r="D12">
        <v>112848</v>
      </c>
      <c r="E12">
        <v>285404.14</v>
      </c>
      <c r="F12">
        <v>100</v>
      </c>
      <c r="G12">
        <v>5</v>
      </c>
      <c r="H12">
        <v>570.80828</v>
      </c>
    </row>
    <row r="13" spans="1:8">
      <c r="A13">
        <v>2022</v>
      </c>
      <c r="B13">
        <v>12</v>
      </c>
      <c r="C13" t="s">
        <v>35</v>
      </c>
      <c r="D13">
        <v>101956</v>
      </c>
      <c r="E13">
        <v>261780.17</v>
      </c>
      <c r="F13">
        <v>100</v>
      </c>
      <c r="G13">
        <v>5</v>
      </c>
      <c r="H13">
        <v>523.56034</v>
      </c>
    </row>
    <row r="14" spans="1:8">
      <c r="A14">
        <v>2022</v>
      </c>
      <c r="B14">
        <v>1</v>
      </c>
      <c r="C14" t="s">
        <v>34</v>
      </c>
      <c r="D14">
        <v>44407.44</v>
      </c>
      <c r="E14">
        <v>78786.79</v>
      </c>
      <c r="F14">
        <v>100</v>
      </c>
      <c r="G14">
        <v>5</v>
      </c>
      <c r="H14">
        <v>157.57358</v>
      </c>
    </row>
    <row r="15" spans="1:8">
      <c r="A15">
        <v>2022</v>
      </c>
      <c r="B15">
        <v>2</v>
      </c>
      <c r="C15" t="s">
        <v>34</v>
      </c>
      <c r="D15">
        <v>60783.79</v>
      </c>
      <c r="E15">
        <v>107164.79</v>
      </c>
      <c r="F15">
        <v>100</v>
      </c>
      <c r="G15">
        <v>5</v>
      </c>
      <c r="H15">
        <v>214.32958</v>
      </c>
    </row>
    <row r="16" spans="1:8">
      <c r="A16">
        <v>2022</v>
      </c>
      <c r="B16">
        <v>3</v>
      </c>
      <c r="C16" t="s">
        <v>34</v>
      </c>
      <c r="D16">
        <v>54247.98</v>
      </c>
      <c r="E16">
        <v>100513.98</v>
      </c>
      <c r="F16">
        <v>100</v>
      </c>
      <c r="G16">
        <v>5</v>
      </c>
      <c r="H16">
        <v>201.02796</v>
      </c>
    </row>
    <row r="17" spans="1:8">
      <c r="A17">
        <v>2022</v>
      </c>
      <c r="B17">
        <v>4</v>
      </c>
      <c r="C17" t="s">
        <v>34</v>
      </c>
      <c r="D17">
        <v>59647.28</v>
      </c>
      <c r="E17">
        <v>106995.28</v>
      </c>
      <c r="F17">
        <v>100</v>
      </c>
      <c r="G17">
        <v>5</v>
      </c>
      <c r="H17">
        <v>213.99056</v>
      </c>
    </row>
    <row r="18" spans="1:8">
      <c r="A18">
        <v>2022</v>
      </c>
      <c r="B18">
        <v>5</v>
      </c>
      <c r="C18" t="s">
        <v>34</v>
      </c>
      <c r="D18">
        <v>61188.01</v>
      </c>
      <c r="E18">
        <v>118610.01</v>
      </c>
      <c r="F18">
        <v>100</v>
      </c>
      <c r="G18">
        <v>5</v>
      </c>
      <c r="H18">
        <v>237.22002</v>
      </c>
    </row>
    <row r="19" spans="1:8">
      <c r="A19">
        <v>2022</v>
      </c>
      <c r="B19">
        <v>6</v>
      </c>
      <c r="C19" t="s">
        <v>34</v>
      </c>
      <c r="D19">
        <v>75321.21</v>
      </c>
      <c r="E19">
        <v>136356.21</v>
      </c>
      <c r="F19">
        <v>100</v>
      </c>
      <c r="G19">
        <v>5</v>
      </c>
      <c r="H19">
        <v>272.71242</v>
      </c>
    </row>
    <row r="20" spans="1:8">
      <c r="A20">
        <v>2022</v>
      </c>
      <c r="B20">
        <v>7</v>
      </c>
      <c r="C20" t="s">
        <v>34</v>
      </c>
      <c r="D20">
        <v>58195.01</v>
      </c>
      <c r="E20">
        <v>56067.09</v>
      </c>
      <c r="F20">
        <v>100</v>
      </c>
      <c r="G20">
        <v>5</v>
      </c>
      <c r="H20">
        <v>112.13418</v>
      </c>
    </row>
    <row r="21" spans="1:8">
      <c r="A21">
        <v>2022</v>
      </c>
      <c r="B21">
        <v>8</v>
      </c>
      <c r="C21" t="s">
        <v>34</v>
      </c>
      <c r="D21">
        <v>70057.57</v>
      </c>
      <c r="E21">
        <v>121633.64</v>
      </c>
      <c r="F21">
        <v>100</v>
      </c>
      <c r="G21">
        <v>5</v>
      </c>
      <c r="H21">
        <v>243.26728</v>
      </c>
    </row>
    <row r="22" spans="1:8">
      <c r="A22">
        <v>2022</v>
      </c>
      <c r="B22">
        <v>9</v>
      </c>
      <c r="C22" t="s">
        <v>34</v>
      </c>
      <c r="D22">
        <v>61977.84</v>
      </c>
      <c r="E22">
        <v>113791.19</v>
      </c>
      <c r="F22">
        <v>100</v>
      </c>
      <c r="G22">
        <v>5</v>
      </c>
      <c r="H22">
        <v>227.58238</v>
      </c>
    </row>
    <row r="23" spans="1:8">
      <c r="A23">
        <v>2022</v>
      </c>
      <c r="B23">
        <v>10</v>
      </c>
      <c r="C23" t="s">
        <v>34</v>
      </c>
      <c r="D23">
        <v>61683.86</v>
      </c>
      <c r="E23">
        <v>107805.82</v>
      </c>
      <c r="F23">
        <v>100</v>
      </c>
      <c r="G23">
        <v>5</v>
      </c>
      <c r="H23">
        <v>215.61164</v>
      </c>
    </row>
    <row r="24" spans="1:8">
      <c r="A24">
        <v>2022</v>
      </c>
      <c r="B24">
        <v>11</v>
      </c>
      <c r="C24" t="s">
        <v>34</v>
      </c>
      <c r="D24">
        <v>66506.25</v>
      </c>
      <c r="E24">
        <v>112042.79</v>
      </c>
      <c r="F24">
        <v>100</v>
      </c>
      <c r="G24">
        <v>5</v>
      </c>
      <c r="H24">
        <v>224.08558</v>
      </c>
    </row>
    <row r="25" spans="1:8">
      <c r="A25">
        <v>2022</v>
      </c>
      <c r="B25">
        <v>12</v>
      </c>
      <c r="C25" t="s">
        <v>34</v>
      </c>
      <c r="D25">
        <v>67461.35</v>
      </c>
      <c r="E25">
        <v>121216.57</v>
      </c>
      <c r="F25">
        <v>100</v>
      </c>
      <c r="G25">
        <v>5</v>
      </c>
      <c r="H25">
        <v>242.43314</v>
      </c>
    </row>
    <row r="26" spans="1:8">
      <c r="A26">
        <v>2022</v>
      </c>
      <c r="B26">
        <v>1</v>
      </c>
      <c r="C26" t="s">
        <v>32</v>
      </c>
      <c r="D26">
        <v>53810</v>
      </c>
      <c r="E26">
        <v>143230</v>
      </c>
      <c r="F26">
        <v>100</v>
      </c>
      <c r="G26">
        <v>5</v>
      </c>
      <c r="H26">
        <v>286.46</v>
      </c>
    </row>
    <row r="27" spans="1:8">
      <c r="A27">
        <v>2022</v>
      </c>
      <c r="B27">
        <v>2</v>
      </c>
      <c r="C27" t="s">
        <v>32</v>
      </c>
      <c r="D27">
        <v>70545</v>
      </c>
      <c r="E27">
        <v>205471</v>
      </c>
      <c r="F27">
        <v>100</v>
      </c>
      <c r="G27">
        <v>5</v>
      </c>
      <c r="H27">
        <v>410.942</v>
      </c>
    </row>
    <row r="28" spans="1:8">
      <c r="A28">
        <v>2022</v>
      </c>
      <c r="B28">
        <v>3</v>
      </c>
      <c r="C28" t="s">
        <v>32</v>
      </c>
      <c r="D28">
        <v>77260</v>
      </c>
      <c r="E28">
        <v>214306</v>
      </c>
      <c r="F28">
        <v>100</v>
      </c>
      <c r="G28">
        <v>5</v>
      </c>
      <c r="H28">
        <v>428.612</v>
      </c>
    </row>
    <row r="29" spans="1:8">
      <c r="A29">
        <v>2022</v>
      </c>
      <c r="B29">
        <v>4</v>
      </c>
      <c r="C29" t="s">
        <v>32</v>
      </c>
      <c r="D29">
        <v>91540</v>
      </c>
      <c r="E29">
        <v>227056</v>
      </c>
      <c r="F29">
        <v>100</v>
      </c>
      <c r="G29">
        <v>5</v>
      </c>
      <c r="H29">
        <v>454.112</v>
      </c>
    </row>
    <row r="30" spans="1:8">
      <c r="A30">
        <v>2022</v>
      </c>
      <c r="B30">
        <v>5</v>
      </c>
      <c r="C30" t="s">
        <v>32</v>
      </c>
      <c r="D30">
        <v>79775</v>
      </c>
      <c r="E30">
        <v>214551</v>
      </c>
      <c r="F30">
        <v>100</v>
      </c>
      <c r="G30">
        <v>5</v>
      </c>
      <c r="H30">
        <v>429.102</v>
      </c>
    </row>
    <row r="31" spans="1:8">
      <c r="A31">
        <v>2022</v>
      </c>
      <c r="B31">
        <v>6</v>
      </c>
      <c r="C31" t="s">
        <v>32</v>
      </c>
      <c r="D31">
        <v>101170</v>
      </c>
      <c r="E31">
        <v>255586</v>
      </c>
      <c r="F31">
        <v>100</v>
      </c>
      <c r="G31">
        <v>5</v>
      </c>
      <c r="H31">
        <v>511.172</v>
      </c>
    </row>
    <row r="32" spans="1:8">
      <c r="A32">
        <v>2022</v>
      </c>
      <c r="B32">
        <v>7</v>
      </c>
      <c r="C32" t="s">
        <v>32</v>
      </c>
      <c r="D32">
        <v>68990</v>
      </c>
      <c r="E32">
        <v>162142.61</v>
      </c>
      <c r="F32">
        <v>100</v>
      </c>
      <c r="G32">
        <v>5</v>
      </c>
      <c r="H32">
        <v>324.28522</v>
      </c>
    </row>
    <row r="33" spans="1:8">
      <c r="A33">
        <v>2022</v>
      </c>
      <c r="B33">
        <v>8</v>
      </c>
      <c r="C33" t="s">
        <v>32</v>
      </c>
      <c r="D33">
        <v>97155</v>
      </c>
      <c r="E33">
        <v>195452.51</v>
      </c>
      <c r="F33">
        <v>100</v>
      </c>
      <c r="G33">
        <v>5</v>
      </c>
      <c r="H33">
        <v>390.90502</v>
      </c>
    </row>
    <row r="34" spans="1:8">
      <c r="A34">
        <v>2022</v>
      </c>
      <c r="B34">
        <v>9</v>
      </c>
      <c r="C34" t="s">
        <v>32</v>
      </c>
      <c r="D34">
        <v>88995</v>
      </c>
      <c r="E34">
        <v>223751.23</v>
      </c>
      <c r="F34">
        <v>100</v>
      </c>
      <c r="G34">
        <v>5</v>
      </c>
      <c r="H34">
        <v>447.50246</v>
      </c>
    </row>
    <row r="35" spans="1:8">
      <c r="A35">
        <v>2022</v>
      </c>
      <c r="B35">
        <v>10</v>
      </c>
      <c r="C35" t="s">
        <v>32</v>
      </c>
      <c r="D35">
        <v>74825</v>
      </c>
      <c r="E35">
        <v>203678.74</v>
      </c>
      <c r="F35">
        <v>100</v>
      </c>
      <c r="G35">
        <v>5</v>
      </c>
      <c r="H35">
        <v>407.35748</v>
      </c>
    </row>
    <row r="36" spans="1:8">
      <c r="A36">
        <v>2022</v>
      </c>
      <c r="B36">
        <v>11</v>
      </c>
      <c r="C36" t="s">
        <v>32</v>
      </c>
      <c r="D36">
        <v>82975</v>
      </c>
      <c r="E36">
        <v>218507.51</v>
      </c>
      <c r="F36">
        <v>100</v>
      </c>
      <c r="G36">
        <v>5</v>
      </c>
      <c r="H36">
        <v>437.01502</v>
      </c>
    </row>
    <row r="37" spans="1:8">
      <c r="A37">
        <v>2022</v>
      </c>
      <c r="B37">
        <v>12</v>
      </c>
      <c r="C37" t="s">
        <v>32</v>
      </c>
      <c r="D37">
        <v>82935</v>
      </c>
      <c r="E37">
        <v>247330.47</v>
      </c>
      <c r="F37">
        <v>100</v>
      </c>
      <c r="G37">
        <v>5</v>
      </c>
      <c r="H37">
        <v>494.66094</v>
      </c>
    </row>
    <row r="38" spans="1:8">
      <c r="A38">
        <v>2022</v>
      </c>
      <c r="B38">
        <v>1</v>
      </c>
      <c r="C38" t="s">
        <v>37</v>
      </c>
      <c r="D38">
        <v>214750</v>
      </c>
      <c r="E38">
        <v>215550</v>
      </c>
      <c r="F38">
        <v>100</v>
      </c>
      <c r="G38">
        <v>5</v>
      </c>
      <c r="H38">
        <v>431.1</v>
      </c>
    </row>
    <row r="39" spans="1:8">
      <c r="A39">
        <v>2022</v>
      </c>
      <c r="B39">
        <v>2</v>
      </c>
      <c r="C39" t="s">
        <v>37</v>
      </c>
      <c r="D39">
        <v>361600</v>
      </c>
      <c r="E39">
        <v>364100</v>
      </c>
      <c r="F39">
        <v>100</v>
      </c>
      <c r="G39">
        <v>5</v>
      </c>
      <c r="H39">
        <v>728.2</v>
      </c>
    </row>
    <row r="40" spans="1:8">
      <c r="A40">
        <v>2022</v>
      </c>
      <c r="B40">
        <v>3</v>
      </c>
      <c r="C40" t="s">
        <v>37</v>
      </c>
      <c r="D40">
        <v>320750</v>
      </c>
      <c r="E40">
        <v>323250</v>
      </c>
      <c r="F40">
        <v>100</v>
      </c>
      <c r="G40">
        <v>5</v>
      </c>
      <c r="H40">
        <v>646.5</v>
      </c>
    </row>
    <row r="41" spans="1:8">
      <c r="A41">
        <v>2022</v>
      </c>
      <c r="B41">
        <v>4</v>
      </c>
      <c r="C41" t="s">
        <v>37</v>
      </c>
      <c r="D41">
        <v>347090</v>
      </c>
      <c r="E41">
        <v>349590</v>
      </c>
      <c r="F41">
        <v>100</v>
      </c>
      <c r="G41">
        <v>5</v>
      </c>
      <c r="H41">
        <v>699.18</v>
      </c>
    </row>
    <row r="42" spans="1:8">
      <c r="A42">
        <v>2022</v>
      </c>
      <c r="B42">
        <v>5</v>
      </c>
      <c r="C42" t="s">
        <v>37</v>
      </c>
      <c r="D42">
        <v>350070</v>
      </c>
      <c r="E42">
        <v>352570</v>
      </c>
      <c r="F42">
        <v>100</v>
      </c>
      <c r="G42">
        <v>5</v>
      </c>
      <c r="H42">
        <v>705.14</v>
      </c>
    </row>
    <row r="43" spans="1:8">
      <c r="A43">
        <v>2022</v>
      </c>
      <c r="B43">
        <v>6</v>
      </c>
      <c r="C43" t="s">
        <v>37</v>
      </c>
      <c r="D43">
        <v>466810</v>
      </c>
      <c r="E43">
        <v>469310</v>
      </c>
      <c r="F43">
        <v>100</v>
      </c>
      <c r="G43">
        <v>5</v>
      </c>
      <c r="H43">
        <v>938.62</v>
      </c>
    </row>
    <row r="44" spans="1:8">
      <c r="A44">
        <v>2022</v>
      </c>
      <c r="B44">
        <v>7</v>
      </c>
      <c r="C44" t="s">
        <v>37</v>
      </c>
      <c r="D44">
        <v>338860</v>
      </c>
      <c r="E44">
        <v>338873.8</v>
      </c>
      <c r="F44">
        <v>100</v>
      </c>
      <c r="G44">
        <v>5</v>
      </c>
      <c r="H44">
        <v>677.7476</v>
      </c>
    </row>
    <row r="45" spans="1:8">
      <c r="A45">
        <v>2022</v>
      </c>
      <c r="B45">
        <v>8</v>
      </c>
      <c r="C45" t="s">
        <v>37</v>
      </c>
      <c r="D45">
        <v>409310</v>
      </c>
      <c r="E45">
        <v>411276.35</v>
      </c>
      <c r="F45">
        <v>100</v>
      </c>
      <c r="G45">
        <v>5</v>
      </c>
      <c r="H45">
        <v>822.5527</v>
      </c>
    </row>
    <row r="46" spans="1:8">
      <c r="A46">
        <v>2022</v>
      </c>
      <c r="B46">
        <v>9</v>
      </c>
      <c r="C46" t="s">
        <v>37</v>
      </c>
      <c r="D46">
        <v>369790</v>
      </c>
      <c r="E46">
        <v>371624.21</v>
      </c>
      <c r="F46">
        <v>100</v>
      </c>
      <c r="G46">
        <v>5</v>
      </c>
      <c r="H46">
        <v>743.24842</v>
      </c>
    </row>
    <row r="47" spans="1:8">
      <c r="A47">
        <v>2022</v>
      </c>
      <c r="B47">
        <v>10</v>
      </c>
      <c r="C47" t="s">
        <v>37</v>
      </c>
      <c r="D47">
        <v>373880</v>
      </c>
      <c r="E47">
        <v>375513.36</v>
      </c>
      <c r="F47">
        <v>100</v>
      </c>
      <c r="G47">
        <v>5</v>
      </c>
      <c r="H47">
        <v>751.02672</v>
      </c>
    </row>
    <row r="48" spans="1:8">
      <c r="A48">
        <v>2022</v>
      </c>
      <c r="B48">
        <v>11</v>
      </c>
      <c r="C48" t="s">
        <v>37</v>
      </c>
      <c r="D48">
        <v>365450</v>
      </c>
      <c r="E48">
        <v>367034.29</v>
      </c>
      <c r="F48">
        <v>100</v>
      </c>
      <c r="G48">
        <v>5</v>
      </c>
      <c r="H48">
        <v>734.06858</v>
      </c>
    </row>
    <row r="49" spans="1:8">
      <c r="A49">
        <v>2022</v>
      </c>
      <c r="B49">
        <v>12</v>
      </c>
      <c r="C49" t="s">
        <v>37</v>
      </c>
      <c r="D49">
        <v>335460</v>
      </c>
      <c r="E49">
        <v>337781.54</v>
      </c>
      <c r="F49">
        <v>100</v>
      </c>
      <c r="G49">
        <v>5</v>
      </c>
      <c r="H49">
        <v>675.56308</v>
      </c>
    </row>
    <row r="50" spans="1:8">
      <c r="A50">
        <v>2022</v>
      </c>
      <c r="B50">
        <v>1</v>
      </c>
      <c r="C50" t="s">
        <v>38</v>
      </c>
      <c r="E50">
        <v>11950</v>
      </c>
      <c r="F50">
        <v>100</v>
      </c>
      <c r="G50">
        <v>5</v>
      </c>
      <c r="H50">
        <v>23.9</v>
      </c>
    </row>
    <row r="51" spans="1:8">
      <c r="A51">
        <v>2022</v>
      </c>
      <c r="B51">
        <v>2</v>
      </c>
      <c r="C51" t="s">
        <v>38</v>
      </c>
      <c r="E51">
        <v>11950</v>
      </c>
      <c r="F51">
        <v>100</v>
      </c>
      <c r="G51">
        <v>5</v>
      </c>
      <c r="H51">
        <v>23.9</v>
      </c>
    </row>
    <row r="52" spans="1:8">
      <c r="A52">
        <v>2022</v>
      </c>
      <c r="B52">
        <v>3</v>
      </c>
      <c r="C52" t="s">
        <v>38</v>
      </c>
      <c r="E52">
        <v>11950</v>
      </c>
      <c r="F52">
        <v>100</v>
      </c>
      <c r="G52">
        <v>5</v>
      </c>
      <c r="H52">
        <v>23.9</v>
      </c>
    </row>
    <row r="53" spans="1:8">
      <c r="A53">
        <v>2022</v>
      </c>
      <c r="B53">
        <v>4</v>
      </c>
      <c r="C53" t="s">
        <v>38</v>
      </c>
      <c r="E53">
        <v>11650</v>
      </c>
      <c r="F53">
        <v>100</v>
      </c>
      <c r="G53">
        <v>5</v>
      </c>
      <c r="H53">
        <v>23.3</v>
      </c>
    </row>
    <row r="54" spans="1:8">
      <c r="A54">
        <v>2022</v>
      </c>
      <c r="B54">
        <v>5</v>
      </c>
      <c r="C54" t="s">
        <v>38</v>
      </c>
      <c r="E54">
        <v>11950</v>
      </c>
      <c r="F54">
        <v>100</v>
      </c>
      <c r="G54">
        <v>5</v>
      </c>
      <c r="H54">
        <v>23.9</v>
      </c>
    </row>
    <row r="55" spans="1:8">
      <c r="A55">
        <v>2022</v>
      </c>
      <c r="B55">
        <v>6</v>
      </c>
      <c r="C55" t="s">
        <v>38</v>
      </c>
      <c r="E55">
        <v>12250</v>
      </c>
      <c r="F55">
        <v>100</v>
      </c>
      <c r="G55">
        <v>5</v>
      </c>
      <c r="H55">
        <v>24.5</v>
      </c>
    </row>
    <row r="56" spans="1:8">
      <c r="A56">
        <v>2022</v>
      </c>
      <c r="B56">
        <v>7</v>
      </c>
      <c r="C56" t="s">
        <v>38</v>
      </c>
      <c r="D56">
        <v>28200</v>
      </c>
      <c r="E56">
        <v>31216.13</v>
      </c>
      <c r="F56">
        <v>100</v>
      </c>
      <c r="G56">
        <v>5</v>
      </c>
      <c r="H56">
        <v>62.43226</v>
      </c>
    </row>
    <row r="57" spans="1:8">
      <c r="A57">
        <v>2022</v>
      </c>
      <c r="B57">
        <v>8</v>
      </c>
      <c r="C57" t="s">
        <v>38</v>
      </c>
      <c r="E57">
        <v>11902.5</v>
      </c>
      <c r="F57">
        <v>100</v>
      </c>
      <c r="G57">
        <v>5</v>
      </c>
      <c r="H57">
        <v>23.805</v>
      </c>
    </row>
    <row r="58" spans="1:8">
      <c r="A58">
        <v>2022</v>
      </c>
      <c r="B58">
        <v>9</v>
      </c>
      <c r="C58" t="s">
        <v>38</v>
      </c>
      <c r="E58">
        <v>11523.98</v>
      </c>
      <c r="F58">
        <v>100</v>
      </c>
      <c r="G58">
        <v>5</v>
      </c>
      <c r="H58">
        <v>23.04796</v>
      </c>
    </row>
    <row r="59" spans="1:8">
      <c r="A59">
        <v>2022</v>
      </c>
      <c r="B59">
        <v>10</v>
      </c>
      <c r="C59" t="s">
        <v>38</v>
      </c>
      <c r="E59">
        <v>10802.64</v>
      </c>
      <c r="F59">
        <v>100</v>
      </c>
      <c r="G59">
        <v>5</v>
      </c>
      <c r="H59">
        <v>21.60528</v>
      </c>
    </row>
    <row r="60" spans="1:8">
      <c r="A60">
        <v>2022</v>
      </c>
      <c r="B60">
        <v>11</v>
      </c>
      <c r="C60" t="s">
        <v>38</v>
      </c>
      <c r="E60">
        <v>11616.9</v>
      </c>
      <c r="F60">
        <v>100</v>
      </c>
      <c r="G60">
        <v>5</v>
      </c>
      <c r="H60">
        <v>23.2338</v>
      </c>
    </row>
    <row r="61" spans="1:8">
      <c r="A61">
        <v>2022</v>
      </c>
      <c r="B61">
        <v>12</v>
      </c>
      <c r="C61" t="s">
        <v>38</v>
      </c>
      <c r="E61">
        <v>13314.29</v>
      </c>
      <c r="F61">
        <v>100</v>
      </c>
      <c r="G61">
        <v>5</v>
      </c>
      <c r="H61">
        <v>26.62858</v>
      </c>
    </row>
    <row r="62" spans="1:8">
      <c r="A62">
        <v>2022</v>
      </c>
      <c r="B62">
        <v>1</v>
      </c>
      <c r="C62" t="s">
        <v>39</v>
      </c>
      <c r="D62">
        <v>52845</v>
      </c>
      <c r="E62">
        <v>72345</v>
      </c>
      <c r="F62">
        <v>100</v>
      </c>
      <c r="G62">
        <v>5</v>
      </c>
      <c r="H62">
        <v>144.69</v>
      </c>
    </row>
    <row r="63" spans="1:8">
      <c r="A63">
        <v>2022</v>
      </c>
      <c r="B63">
        <v>2</v>
      </c>
      <c r="C63" t="s">
        <v>39</v>
      </c>
      <c r="D63">
        <v>84210</v>
      </c>
      <c r="E63">
        <v>106710</v>
      </c>
      <c r="F63">
        <v>100</v>
      </c>
      <c r="G63">
        <v>5</v>
      </c>
      <c r="H63">
        <v>213.42</v>
      </c>
    </row>
    <row r="64" spans="1:8">
      <c r="A64">
        <v>2022</v>
      </c>
      <c r="B64">
        <v>3</v>
      </c>
      <c r="C64" t="s">
        <v>39</v>
      </c>
      <c r="D64">
        <v>69425</v>
      </c>
      <c r="E64">
        <v>91925</v>
      </c>
      <c r="F64">
        <v>100</v>
      </c>
      <c r="G64">
        <v>5</v>
      </c>
      <c r="H64">
        <v>183.85</v>
      </c>
    </row>
    <row r="65" spans="1:8">
      <c r="A65">
        <v>2022</v>
      </c>
      <c r="B65">
        <v>4</v>
      </c>
      <c r="C65" t="s">
        <v>39</v>
      </c>
      <c r="D65">
        <v>82730</v>
      </c>
      <c r="E65">
        <v>104230</v>
      </c>
      <c r="F65">
        <v>100</v>
      </c>
      <c r="G65">
        <v>5</v>
      </c>
      <c r="H65">
        <v>208.46</v>
      </c>
    </row>
    <row r="66" spans="1:8">
      <c r="A66">
        <v>2022</v>
      </c>
      <c r="B66">
        <v>5</v>
      </c>
      <c r="C66" t="s">
        <v>39</v>
      </c>
      <c r="D66">
        <v>80540</v>
      </c>
      <c r="E66">
        <v>101540</v>
      </c>
      <c r="F66">
        <v>100</v>
      </c>
      <c r="G66">
        <v>5</v>
      </c>
      <c r="H66">
        <v>203.08</v>
      </c>
    </row>
    <row r="67" spans="1:8">
      <c r="A67">
        <v>2022</v>
      </c>
      <c r="B67">
        <v>6</v>
      </c>
      <c r="C67" t="s">
        <v>39</v>
      </c>
      <c r="D67">
        <v>91600</v>
      </c>
      <c r="E67">
        <v>116100</v>
      </c>
      <c r="F67">
        <v>100</v>
      </c>
      <c r="G67">
        <v>5</v>
      </c>
      <c r="H67">
        <v>232.2</v>
      </c>
    </row>
    <row r="68" spans="1:8">
      <c r="A68">
        <v>2022</v>
      </c>
      <c r="B68">
        <v>7</v>
      </c>
      <c r="C68" t="s">
        <v>39</v>
      </c>
      <c r="D68">
        <v>65055</v>
      </c>
      <c r="E68">
        <v>68948.11</v>
      </c>
      <c r="F68">
        <v>100</v>
      </c>
      <c r="G68">
        <v>5</v>
      </c>
      <c r="H68">
        <v>137.89622</v>
      </c>
    </row>
    <row r="69" spans="1:8">
      <c r="A69">
        <v>2022</v>
      </c>
      <c r="B69">
        <v>8</v>
      </c>
      <c r="C69" t="s">
        <v>39</v>
      </c>
      <c r="D69">
        <v>77400</v>
      </c>
      <c r="E69">
        <v>100640.03</v>
      </c>
      <c r="F69">
        <v>100</v>
      </c>
      <c r="G69">
        <v>5</v>
      </c>
      <c r="H69">
        <v>201.28006</v>
      </c>
    </row>
    <row r="70" spans="1:8">
      <c r="A70">
        <v>2022</v>
      </c>
      <c r="B70">
        <v>9</v>
      </c>
      <c r="C70" t="s">
        <v>39</v>
      </c>
      <c r="D70">
        <v>79400</v>
      </c>
      <c r="E70">
        <v>102655.04</v>
      </c>
      <c r="F70">
        <v>100</v>
      </c>
      <c r="G70">
        <v>5</v>
      </c>
      <c r="H70">
        <v>205.31008</v>
      </c>
    </row>
    <row r="71" spans="1:8">
      <c r="A71">
        <v>2022</v>
      </c>
      <c r="B71">
        <v>10</v>
      </c>
      <c r="C71" t="s">
        <v>39</v>
      </c>
      <c r="D71">
        <v>79065</v>
      </c>
      <c r="E71">
        <v>101379.24</v>
      </c>
      <c r="F71">
        <v>100</v>
      </c>
      <c r="G71">
        <v>5</v>
      </c>
      <c r="H71">
        <v>202.75848</v>
      </c>
    </row>
    <row r="72" spans="1:8">
      <c r="A72">
        <v>2022</v>
      </c>
      <c r="B72">
        <v>11</v>
      </c>
      <c r="C72" t="s">
        <v>39</v>
      </c>
      <c r="D72">
        <v>75925</v>
      </c>
      <c r="E72">
        <v>102779.16</v>
      </c>
      <c r="F72">
        <v>100</v>
      </c>
      <c r="G72">
        <v>5</v>
      </c>
      <c r="H72">
        <v>205.55832</v>
      </c>
    </row>
    <row r="73" spans="1:8">
      <c r="A73">
        <v>2022</v>
      </c>
      <c r="B73">
        <v>12</v>
      </c>
      <c r="C73" t="s">
        <v>39</v>
      </c>
      <c r="D73">
        <v>83995</v>
      </c>
      <c r="E73">
        <v>117784.36</v>
      </c>
      <c r="F73">
        <v>100</v>
      </c>
      <c r="G73">
        <v>5</v>
      </c>
      <c r="H73">
        <v>235.56872</v>
      </c>
    </row>
    <row r="74" spans="1:8">
      <c r="A74">
        <v>2022</v>
      </c>
      <c r="B74">
        <v>5</v>
      </c>
      <c r="C74" t="s">
        <v>40</v>
      </c>
      <c r="D74">
        <v>43736</v>
      </c>
      <c r="E74">
        <v>66179</v>
      </c>
      <c r="F74">
        <v>100</v>
      </c>
      <c r="G74">
        <v>5</v>
      </c>
      <c r="H74">
        <v>132.358</v>
      </c>
    </row>
    <row r="75" spans="1:8">
      <c r="A75">
        <v>2022</v>
      </c>
      <c r="B75">
        <v>6</v>
      </c>
      <c r="C75" t="s">
        <v>40</v>
      </c>
      <c r="D75">
        <v>65892.26</v>
      </c>
      <c r="E75">
        <v>131912.76</v>
      </c>
      <c r="F75">
        <v>100</v>
      </c>
      <c r="G75">
        <v>5</v>
      </c>
      <c r="H75">
        <v>263.82552</v>
      </c>
    </row>
    <row r="76" spans="1:8">
      <c r="A76">
        <v>2022</v>
      </c>
      <c r="B76">
        <v>7</v>
      </c>
      <c r="C76" t="s">
        <v>40</v>
      </c>
      <c r="D76">
        <v>49173.18</v>
      </c>
      <c r="E76">
        <v>89134.61</v>
      </c>
      <c r="F76">
        <v>100</v>
      </c>
      <c r="G76">
        <v>5</v>
      </c>
      <c r="H76">
        <v>178.26922</v>
      </c>
    </row>
    <row r="77" spans="1:8">
      <c r="A77">
        <v>2022</v>
      </c>
      <c r="B77">
        <v>8</v>
      </c>
      <c r="C77" t="s">
        <v>40</v>
      </c>
      <c r="D77">
        <v>55425.44</v>
      </c>
      <c r="E77">
        <v>129374.48</v>
      </c>
      <c r="F77">
        <v>100</v>
      </c>
      <c r="G77">
        <v>5</v>
      </c>
      <c r="H77">
        <v>258.74896</v>
      </c>
    </row>
    <row r="78" spans="1:8">
      <c r="A78">
        <v>2022</v>
      </c>
      <c r="B78">
        <v>9</v>
      </c>
      <c r="C78" t="s">
        <v>40</v>
      </c>
      <c r="D78">
        <v>56046.69</v>
      </c>
      <c r="E78">
        <v>131015.09</v>
      </c>
      <c r="F78">
        <v>100</v>
      </c>
      <c r="G78">
        <v>5</v>
      </c>
      <c r="H78">
        <v>262.03018</v>
      </c>
    </row>
    <row r="79" spans="1:8">
      <c r="A79">
        <v>2022</v>
      </c>
      <c r="B79">
        <v>10</v>
      </c>
      <c r="C79" t="s">
        <v>40</v>
      </c>
      <c r="D79">
        <v>51593.57</v>
      </c>
      <c r="E79">
        <v>124207.14</v>
      </c>
      <c r="F79">
        <v>100</v>
      </c>
      <c r="G79">
        <v>5</v>
      </c>
      <c r="H79">
        <v>248.41428</v>
      </c>
    </row>
    <row r="80" spans="1:8">
      <c r="A80">
        <v>2022</v>
      </c>
      <c r="B80">
        <v>11</v>
      </c>
      <c r="C80" t="s">
        <v>40</v>
      </c>
      <c r="D80">
        <v>58730.49</v>
      </c>
      <c r="E80">
        <v>149647.51</v>
      </c>
      <c r="F80">
        <v>100</v>
      </c>
      <c r="G80">
        <v>5</v>
      </c>
      <c r="H80">
        <v>299.29502</v>
      </c>
    </row>
    <row r="81" spans="1:8">
      <c r="A81">
        <v>2022</v>
      </c>
      <c r="B81">
        <v>12</v>
      </c>
      <c r="C81" t="s">
        <v>40</v>
      </c>
      <c r="D81">
        <v>66340.31</v>
      </c>
      <c r="E81">
        <v>182965.7</v>
      </c>
      <c r="F81">
        <v>100</v>
      </c>
      <c r="G81">
        <v>5</v>
      </c>
      <c r="H81">
        <v>365.9314</v>
      </c>
    </row>
    <row r="82" spans="1:8">
      <c r="A82">
        <v>2022</v>
      </c>
      <c r="B82">
        <v>1</v>
      </c>
      <c r="C82" t="s">
        <v>40</v>
      </c>
      <c r="D82">
        <v>27797.21</v>
      </c>
      <c r="E82">
        <v>88243.81</v>
      </c>
      <c r="F82">
        <v>100</v>
      </c>
      <c r="G82">
        <v>5</v>
      </c>
      <c r="H82">
        <v>176.48762</v>
      </c>
    </row>
    <row r="83" spans="1:8">
      <c r="A83">
        <v>2022</v>
      </c>
      <c r="B83">
        <v>2</v>
      </c>
      <c r="C83" t="s">
        <v>40</v>
      </c>
      <c r="D83">
        <v>37780.85</v>
      </c>
      <c r="E83">
        <v>116599.33</v>
      </c>
      <c r="F83">
        <v>100</v>
      </c>
      <c r="G83">
        <v>5</v>
      </c>
      <c r="H83">
        <v>233.19866</v>
      </c>
    </row>
    <row r="84" spans="1:8">
      <c r="A84">
        <v>2022</v>
      </c>
      <c r="B84">
        <v>3</v>
      </c>
      <c r="C84" t="s">
        <v>40</v>
      </c>
      <c r="D84">
        <v>47107.27</v>
      </c>
      <c r="E84">
        <v>134777.32</v>
      </c>
      <c r="F84">
        <v>100</v>
      </c>
      <c r="G84">
        <v>5</v>
      </c>
      <c r="H84">
        <v>269.55464</v>
      </c>
    </row>
    <row r="85" spans="1:8">
      <c r="A85">
        <v>2022</v>
      </c>
      <c r="B85">
        <v>4</v>
      </c>
      <c r="C85" t="s">
        <v>40</v>
      </c>
      <c r="D85">
        <v>50826.85</v>
      </c>
      <c r="E85">
        <v>158530.42</v>
      </c>
      <c r="F85">
        <v>100</v>
      </c>
      <c r="G85">
        <v>5</v>
      </c>
      <c r="H85">
        <v>317.06084</v>
      </c>
    </row>
    <row r="86" spans="1:8">
      <c r="A86">
        <v>2022</v>
      </c>
      <c r="B86">
        <v>1</v>
      </c>
      <c r="C86" t="s">
        <v>41</v>
      </c>
      <c r="D86">
        <v>68985</v>
      </c>
      <c r="E86">
        <v>233468</v>
      </c>
      <c r="F86">
        <v>100</v>
      </c>
      <c r="G86">
        <v>5</v>
      </c>
      <c r="H86">
        <v>466.936</v>
      </c>
    </row>
    <row r="87" spans="1:8">
      <c r="A87">
        <v>2022</v>
      </c>
      <c r="B87">
        <v>2</v>
      </c>
      <c r="C87" t="s">
        <v>41</v>
      </c>
      <c r="D87">
        <v>78800</v>
      </c>
      <c r="E87">
        <v>227533</v>
      </c>
      <c r="F87">
        <v>100</v>
      </c>
      <c r="G87">
        <v>5</v>
      </c>
      <c r="H87">
        <v>455.066</v>
      </c>
    </row>
    <row r="88" spans="1:8">
      <c r="A88">
        <v>2022</v>
      </c>
      <c r="B88">
        <v>3</v>
      </c>
      <c r="C88" t="s">
        <v>41</v>
      </c>
      <c r="D88">
        <v>66640</v>
      </c>
      <c r="E88">
        <v>205423</v>
      </c>
      <c r="F88">
        <v>100</v>
      </c>
      <c r="G88">
        <v>5</v>
      </c>
      <c r="H88">
        <v>410.846</v>
      </c>
    </row>
    <row r="89" spans="1:8">
      <c r="A89">
        <v>2022</v>
      </c>
      <c r="B89">
        <v>4</v>
      </c>
      <c r="C89" t="s">
        <v>41</v>
      </c>
      <c r="D89">
        <v>65535</v>
      </c>
      <c r="E89">
        <v>203568</v>
      </c>
      <c r="F89">
        <v>100</v>
      </c>
      <c r="G89">
        <v>5</v>
      </c>
      <c r="H89">
        <v>407.136</v>
      </c>
    </row>
    <row r="90" spans="1:8">
      <c r="A90">
        <v>2022</v>
      </c>
      <c r="B90">
        <v>5</v>
      </c>
      <c r="C90" t="s">
        <v>41</v>
      </c>
      <c r="D90">
        <v>76110</v>
      </c>
      <c r="E90">
        <v>239693</v>
      </c>
      <c r="F90">
        <v>100</v>
      </c>
      <c r="G90">
        <v>5</v>
      </c>
      <c r="H90">
        <v>479.386</v>
      </c>
    </row>
    <row r="91" spans="1:8">
      <c r="A91">
        <v>2022</v>
      </c>
      <c r="B91">
        <v>6</v>
      </c>
      <c r="C91" t="s">
        <v>41</v>
      </c>
      <c r="D91">
        <v>105700</v>
      </c>
      <c r="E91">
        <v>261549</v>
      </c>
      <c r="F91">
        <v>100</v>
      </c>
      <c r="G91">
        <v>5</v>
      </c>
      <c r="H91">
        <v>523.098</v>
      </c>
    </row>
    <row r="92" spans="1:8">
      <c r="A92">
        <v>2022</v>
      </c>
      <c r="B92">
        <v>7</v>
      </c>
      <c r="C92" t="s">
        <v>41</v>
      </c>
      <c r="D92">
        <v>69825.01</v>
      </c>
      <c r="E92">
        <v>246822.07</v>
      </c>
      <c r="F92">
        <v>100</v>
      </c>
      <c r="G92">
        <v>5</v>
      </c>
      <c r="H92">
        <v>493.64414</v>
      </c>
    </row>
    <row r="93" spans="1:8">
      <c r="A93">
        <v>2022</v>
      </c>
      <c r="B93">
        <v>8</v>
      </c>
      <c r="C93" t="s">
        <v>41</v>
      </c>
      <c r="D93">
        <v>86290</v>
      </c>
      <c r="E93">
        <v>344540.14</v>
      </c>
      <c r="F93">
        <v>100</v>
      </c>
      <c r="G93">
        <v>5</v>
      </c>
      <c r="H93">
        <v>689.08028</v>
      </c>
    </row>
    <row r="94" spans="1:8">
      <c r="A94">
        <v>2022</v>
      </c>
      <c r="B94">
        <v>9</v>
      </c>
      <c r="C94" t="s">
        <v>41</v>
      </c>
      <c r="D94">
        <v>94270</v>
      </c>
      <c r="E94">
        <v>265298.95</v>
      </c>
      <c r="F94">
        <v>100</v>
      </c>
      <c r="G94">
        <v>5</v>
      </c>
      <c r="H94">
        <v>530.5979</v>
      </c>
    </row>
    <row r="95" spans="1:8">
      <c r="A95">
        <v>2022</v>
      </c>
      <c r="B95">
        <v>10</v>
      </c>
      <c r="C95" t="s">
        <v>41</v>
      </c>
      <c r="D95">
        <v>74190</v>
      </c>
      <c r="E95">
        <v>244032.41</v>
      </c>
      <c r="F95">
        <v>100</v>
      </c>
      <c r="G95">
        <v>5</v>
      </c>
      <c r="H95">
        <v>488.06482</v>
      </c>
    </row>
    <row r="96" spans="1:8">
      <c r="A96">
        <v>2022</v>
      </c>
      <c r="B96">
        <v>11</v>
      </c>
      <c r="C96" t="s">
        <v>41</v>
      </c>
      <c r="D96">
        <v>86220.01</v>
      </c>
      <c r="E96">
        <v>279601.8</v>
      </c>
      <c r="F96">
        <v>100</v>
      </c>
      <c r="G96">
        <v>5</v>
      </c>
      <c r="H96">
        <v>559.2036</v>
      </c>
    </row>
    <row r="97" spans="1:8">
      <c r="A97">
        <v>2022</v>
      </c>
      <c r="B97">
        <v>12</v>
      </c>
      <c r="C97" t="s">
        <v>41</v>
      </c>
      <c r="D97">
        <v>71315</v>
      </c>
      <c r="E97">
        <v>306187.38</v>
      </c>
      <c r="F97">
        <v>100</v>
      </c>
      <c r="G97">
        <v>5</v>
      </c>
      <c r="H97">
        <v>612.37476</v>
      </c>
    </row>
    <row r="98" spans="1:8">
      <c r="A98">
        <v>2022</v>
      </c>
      <c r="B98">
        <v>1</v>
      </c>
      <c r="C98" t="s">
        <v>42</v>
      </c>
      <c r="D98">
        <v>959642.09</v>
      </c>
      <c r="E98">
        <v>959642.09</v>
      </c>
      <c r="F98">
        <v>100</v>
      </c>
      <c r="G98">
        <v>5</v>
      </c>
      <c r="H98">
        <v>1919.28418</v>
      </c>
    </row>
    <row r="99" spans="1:8">
      <c r="A99">
        <v>2022</v>
      </c>
      <c r="B99">
        <v>2</v>
      </c>
      <c r="C99" t="s">
        <v>42</v>
      </c>
      <c r="D99">
        <v>1179677.08</v>
      </c>
      <c r="E99">
        <v>1179677.08</v>
      </c>
      <c r="F99">
        <v>100</v>
      </c>
      <c r="G99">
        <v>5</v>
      </c>
      <c r="H99">
        <v>2359.35416</v>
      </c>
    </row>
    <row r="100" spans="1:8">
      <c r="A100">
        <v>2022</v>
      </c>
      <c r="B100">
        <v>3</v>
      </c>
      <c r="C100" t="s">
        <v>42</v>
      </c>
      <c r="D100">
        <v>754683.06</v>
      </c>
      <c r="E100">
        <v>754683.06</v>
      </c>
      <c r="F100">
        <v>100</v>
      </c>
      <c r="G100">
        <v>5</v>
      </c>
      <c r="H100">
        <v>1509.36612</v>
      </c>
    </row>
    <row r="101" spans="1:8">
      <c r="A101">
        <v>2022</v>
      </c>
      <c r="B101">
        <v>4</v>
      </c>
      <c r="C101" t="s">
        <v>42</v>
      </c>
      <c r="D101">
        <v>1097646.77</v>
      </c>
      <c r="E101">
        <v>1097646.77</v>
      </c>
      <c r="F101">
        <v>100</v>
      </c>
      <c r="G101">
        <v>5</v>
      </c>
      <c r="H101">
        <v>2195.29354</v>
      </c>
    </row>
    <row r="102" spans="1:8">
      <c r="A102">
        <v>2022</v>
      </c>
      <c r="B102">
        <v>5</v>
      </c>
      <c r="C102" t="s">
        <v>42</v>
      </c>
      <c r="D102">
        <v>5306.32</v>
      </c>
      <c r="E102">
        <v>5306.32</v>
      </c>
      <c r="F102">
        <v>100</v>
      </c>
      <c r="G102">
        <v>5</v>
      </c>
      <c r="H102">
        <v>10.61264</v>
      </c>
    </row>
    <row r="103" spans="1:8">
      <c r="A103">
        <v>2022</v>
      </c>
      <c r="B103">
        <v>6</v>
      </c>
      <c r="C103" t="s">
        <v>42</v>
      </c>
      <c r="D103">
        <v>1273316.81</v>
      </c>
      <c r="E103">
        <v>1273316.81</v>
      </c>
      <c r="F103">
        <v>100</v>
      </c>
      <c r="G103">
        <v>5</v>
      </c>
      <c r="H103">
        <v>2546.63362</v>
      </c>
    </row>
    <row r="104" spans="1:8">
      <c r="A104">
        <v>2022</v>
      </c>
      <c r="B104">
        <v>7</v>
      </c>
      <c r="C104" t="s">
        <v>42</v>
      </c>
      <c r="D104">
        <v>1137849.21</v>
      </c>
      <c r="E104">
        <v>1137849.21</v>
      </c>
      <c r="F104">
        <v>100</v>
      </c>
      <c r="G104">
        <v>5</v>
      </c>
      <c r="H104">
        <v>2275.69842</v>
      </c>
    </row>
    <row r="105" spans="1:8">
      <c r="A105">
        <v>2022</v>
      </c>
      <c r="B105">
        <v>8</v>
      </c>
      <c r="C105" t="s">
        <v>42</v>
      </c>
      <c r="D105">
        <v>999999.97</v>
      </c>
      <c r="E105">
        <v>999999.97</v>
      </c>
      <c r="F105">
        <v>100</v>
      </c>
      <c r="G105">
        <v>5</v>
      </c>
      <c r="H105">
        <v>1999.99994</v>
      </c>
    </row>
    <row r="106" spans="1:8">
      <c r="A106">
        <v>2022</v>
      </c>
      <c r="B106">
        <v>9</v>
      </c>
      <c r="C106" t="s">
        <v>42</v>
      </c>
      <c r="D106">
        <v>1298485.51</v>
      </c>
      <c r="E106">
        <v>1298485.51</v>
      </c>
      <c r="F106">
        <v>100</v>
      </c>
      <c r="G106">
        <v>5</v>
      </c>
      <c r="H106">
        <v>2596.97102</v>
      </c>
    </row>
    <row r="107" spans="1:8">
      <c r="A107">
        <v>2022</v>
      </c>
      <c r="B107">
        <v>10</v>
      </c>
      <c r="C107" t="s">
        <v>42</v>
      </c>
      <c r="D107">
        <v>1074898.02</v>
      </c>
      <c r="E107">
        <v>1074898.02</v>
      </c>
      <c r="F107">
        <v>100</v>
      </c>
      <c r="G107">
        <v>5</v>
      </c>
      <c r="H107">
        <v>2149.79604</v>
      </c>
    </row>
    <row r="108" spans="1:8">
      <c r="A108">
        <v>2022</v>
      </c>
      <c r="B108">
        <v>11</v>
      </c>
      <c r="C108" t="s">
        <v>42</v>
      </c>
      <c r="D108">
        <v>1009524.39</v>
      </c>
      <c r="E108">
        <v>1009524.39</v>
      </c>
      <c r="F108">
        <v>100</v>
      </c>
      <c r="G108">
        <v>5</v>
      </c>
      <c r="H108">
        <v>2019.04878</v>
      </c>
    </row>
    <row r="109" spans="1:8">
      <c r="A109">
        <v>2022</v>
      </c>
      <c r="B109">
        <v>12</v>
      </c>
      <c r="C109" t="s">
        <v>42</v>
      </c>
      <c r="D109">
        <v>1992562.52</v>
      </c>
      <c r="E109">
        <v>1992562.52</v>
      </c>
      <c r="F109">
        <v>100</v>
      </c>
      <c r="G109">
        <v>5</v>
      </c>
      <c r="H109">
        <v>3985.12504</v>
      </c>
    </row>
    <row r="110" spans="1:8">
      <c r="A110">
        <v>2022</v>
      </c>
      <c r="B110">
        <v>1</v>
      </c>
      <c r="C110" t="s">
        <v>43</v>
      </c>
      <c r="D110">
        <v>42300</v>
      </c>
      <c r="E110">
        <v>42300</v>
      </c>
      <c r="F110">
        <v>100</v>
      </c>
      <c r="G110">
        <v>5</v>
      </c>
      <c r="H110">
        <v>84.6</v>
      </c>
    </row>
    <row r="111" spans="1:8">
      <c r="A111">
        <v>2022</v>
      </c>
      <c r="B111">
        <v>2</v>
      </c>
      <c r="C111" t="s">
        <v>43</v>
      </c>
      <c r="D111">
        <v>18000</v>
      </c>
      <c r="E111">
        <v>18000</v>
      </c>
      <c r="F111">
        <v>100</v>
      </c>
      <c r="G111">
        <v>5</v>
      </c>
      <c r="H111">
        <v>36</v>
      </c>
    </row>
    <row r="112" spans="1:8">
      <c r="A112">
        <v>2022</v>
      </c>
      <c r="B112">
        <v>3</v>
      </c>
      <c r="C112" t="s">
        <v>43</v>
      </c>
      <c r="D112">
        <v>61200</v>
      </c>
      <c r="E112">
        <v>61200</v>
      </c>
      <c r="F112">
        <v>100</v>
      </c>
      <c r="G112">
        <v>5</v>
      </c>
      <c r="H112">
        <v>122.4</v>
      </c>
    </row>
    <row r="113" spans="1:8">
      <c r="A113">
        <v>2022</v>
      </c>
      <c r="B113">
        <v>4</v>
      </c>
      <c r="C113" t="s">
        <v>43</v>
      </c>
      <c r="D113">
        <v>35100</v>
      </c>
      <c r="E113">
        <v>35100</v>
      </c>
      <c r="F113">
        <v>100</v>
      </c>
      <c r="G113">
        <v>5</v>
      </c>
      <c r="H113">
        <v>70.2</v>
      </c>
    </row>
    <row r="114" spans="1:8">
      <c r="A114">
        <v>2022</v>
      </c>
      <c r="B114">
        <v>5</v>
      </c>
      <c r="C114" t="s">
        <v>43</v>
      </c>
      <c r="D114">
        <v>45900</v>
      </c>
      <c r="E114">
        <v>45900</v>
      </c>
      <c r="F114">
        <v>100</v>
      </c>
      <c r="G114">
        <v>5</v>
      </c>
      <c r="H114">
        <v>91.8</v>
      </c>
    </row>
    <row r="115" spans="1:8">
      <c r="A115">
        <v>2022</v>
      </c>
      <c r="B115">
        <v>6</v>
      </c>
      <c r="C115" t="s">
        <v>43</v>
      </c>
      <c r="D115">
        <v>58050</v>
      </c>
      <c r="E115">
        <v>58050</v>
      </c>
      <c r="F115">
        <v>100</v>
      </c>
      <c r="G115">
        <v>5</v>
      </c>
      <c r="H115">
        <v>116.1</v>
      </c>
    </row>
    <row r="116" spans="1:8">
      <c r="A116">
        <v>2022</v>
      </c>
      <c r="B116">
        <v>7</v>
      </c>
      <c r="C116" t="s">
        <v>43</v>
      </c>
      <c r="D116">
        <v>32400</v>
      </c>
      <c r="E116">
        <v>32400</v>
      </c>
      <c r="F116">
        <v>100</v>
      </c>
      <c r="G116">
        <v>5</v>
      </c>
      <c r="H116">
        <v>64.8</v>
      </c>
    </row>
    <row r="117" spans="1:8">
      <c r="A117">
        <v>2022</v>
      </c>
      <c r="B117">
        <v>8</v>
      </c>
      <c r="C117" t="s">
        <v>43</v>
      </c>
      <c r="D117">
        <v>40500</v>
      </c>
      <c r="E117">
        <v>40500</v>
      </c>
      <c r="F117">
        <v>100</v>
      </c>
      <c r="G117">
        <v>5</v>
      </c>
      <c r="H117">
        <v>81</v>
      </c>
    </row>
    <row r="118" spans="1:8">
      <c r="A118">
        <v>2022</v>
      </c>
      <c r="B118">
        <v>9</v>
      </c>
      <c r="C118" t="s">
        <v>43</v>
      </c>
      <c r="D118">
        <v>66150</v>
      </c>
      <c r="E118">
        <v>66150</v>
      </c>
      <c r="F118">
        <v>100</v>
      </c>
      <c r="G118">
        <v>5</v>
      </c>
      <c r="H118">
        <v>132.3</v>
      </c>
    </row>
    <row r="119" spans="1:8">
      <c r="A119">
        <v>2022</v>
      </c>
      <c r="B119">
        <v>10</v>
      </c>
      <c r="C119" t="s">
        <v>43</v>
      </c>
      <c r="D119">
        <v>85950</v>
      </c>
      <c r="E119">
        <v>85950</v>
      </c>
      <c r="F119">
        <v>100</v>
      </c>
      <c r="G119">
        <v>5</v>
      </c>
      <c r="H119">
        <v>171.9</v>
      </c>
    </row>
    <row r="120" spans="1:8">
      <c r="A120">
        <v>2022</v>
      </c>
      <c r="B120">
        <v>11</v>
      </c>
      <c r="C120" t="s">
        <v>43</v>
      </c>
      <c r="D120">
        <v>38700</v>
      </c>
      <c r="E120">
        <v>38700</v>
      </c>
      <c r="F120">
        <v>100</v>
      </c>
      <c r="G120">
        <v>5</v>
      </c>
      <c r="H120">
        <v>77.4</v>
      </c>
    </row>
    <row r="121" spans="1:8">
      <c r="A121">
        <v>2022</v>
      </c>
      <c r="B121">
        <v>12</v>
      </c>
      <c r="C121" t="s">
        <v>43</v>
      </c>
      <c r="D121">
        <v>67050</v>
      </c>
      <c r="E121">
        <v>67050</v>
      </c>
      <c r="F121">
        <v>100</v>
      </c>
      <c r="G121">
        <v>5</v>
      </c>
      <c r="H121">
        <v>134.1</v>
      </c>
    </row>
    <row r="122" spans="1:8">
      <c r="A122">
        <v>2022</v>
      </c>
      <c r="B122">
        <v>1</v>
      </c>
      <c r="C122" t="s">
        <v>44</v>
      </c>
      <c r="D122">
        <v>127304.93</v>
      </c>
      <c r="E122">
        <v>127304.93</v>
      </c>
      <c r="F122">
        <v>100</v>
      </c>
      <c r="G122">
        <v>5</v>
      </c>
      <c r="H122">
        <v>254.60986</v>
      </c>
    </row>
    <row r="123" spans="1:8">
      <c r="A123">
        <v>2022</v>
      </c>
      <c r="B123">
        <v>2</v>
      </c>
      <c r="C123" t="s">
        <v>44</v>
      </c>
      <c r="D123">
        <v>162111.54</v>
      </c>
      <c r="E123">
        <v>162111.54</v>
      </c>
      <c r="F123">
        <v>100</v>
      </c>
      <c r="G123">
        <v>5</v>
      </c>
      <c r="H123">
        <v>324.22308</v>
      </c>
    </row>
    <row r="124" spans="1:8">
      <c r="A124">
        <v>2022</v>
      </c>
      <c r="B124">
        <v>3</v>
      </c>
      <c r="C124" t="s">
        <v>44</v>
      </c>
      <c r="D124">
        <v>115922.97</v>
      </c>
      <c r="E124">
        <v>115922.97</v>
      </c>
      <c r="F124">
        <v>100</v>
      </c>
      <c r="G124">
        <v>5</v>
      </c>
      <c r="H124">
        <v>231.84594</v>
      </c>
    </row>
    <row r="125" spans="1:8">
      <c r="A125">
        <v>2022</v>
      </c>
      <c r="B125">
        <v>4</v>
      </c>
      <c r="C125" t="s">
        <v>44</v>
      </c>
      <c r="D125">
        <v>15001.96</v>
      </c>
      <c r="E125">
        <v>15001.96</v>
      </c>
      <c r="F125">
        <v>100</v>
      </c>
      <c r="G125">
        <v>5</v>
      </c>
      <c r="H125">
        <v>30.00392</v>
      </c>
    </row>
    <row r="126" spans="1:8">
      <c r="A126">
        <v>2022</v>
      </c>
      <c r="B126">
        <v>5</v>
      </c>
      <c r="C126" t="s">
        <v>44</v>
      </c>
      <c r="D126">
        <v>8747</v>
      </c>
      <c r="E126">
        <v>8747</v>
      </c>
      <c r="F126">
        <v>100</v>
      </c>
      <c r="G126">
        <v>5</v>
      </c>
      <c r="H126">
        <v>17.494</v>
      </c>
    </row>
    <row r="127" spans="1:8">
      <c r="A127">
        <v>2022</v>
      </c>
      <c r="B127">
        <v>6</v>
      </c>
      <c r="C127" t="s">
        <v>44</v>
      </c>
      <c r="D127">
        <v>102623</v>
      </c>
      <c r="E127">
        <v>102623</v>
      </c>
      <c r="F127">
        <v>100</v>
      </c>
      <c r="G127">
        <v>5</v>
      </c>
      <c r="H127">
        <v>205.246</v>
      </c>
    </row>
    <row r="128" spans="1:8">
      <c r="A128">
        <v>2022</v>
      </c>
      <c r="B128">
        <v>7</v>
      </c>
      <c r="C128" t="s">
        <v>44</v>
      </c>
      <c r="D128">
        <v>141328.8</v>
      </c>
      <c r="E128">
        <v>141328.8</v>
      </c>
      <c r="F128">
        <v>100</v>
      </c>
      <c r="G128">
        <v>5</v>
      </c>
      <c r="H128">
        <v>282.6576</v>
      </c>
    </row>
    <row r="129" spans="1:8">
      <c r="A129">
        <v>2022</v>
      </c>
      <c r="B129">
        <v>8</v>
      </c>
      <c r="C129" t="s">
        <v>44</v>
      </c>
      <c r="D129">
        <v>159199.92</v>
      </c>
      <c r="E129">
        <v>161941.33</v>
      </c>
      <c r="F129">
        <v>100</v>
      </c>
      <c r="G129">
        <v>5</v>
      </c>
      <c r="H129">
        <v>323.88266</v>
      </c>
    </row>
    <row r="130" spans="1:8">
      <c r="A130">
        <v>2022</v>
      </c>
      <c r="B130">
        <v>9</v>
      </c>
      <c r="C130" t="s">
        <v>44</v>
      </c>
      <c r="D130">
        <v>119886.05</v>
      </c>
      <c r="E130">
        <v>126184.95</v>
      </c>
      <c r="F130">
        <v>100</v>
      </c>
      <c r="G130">
        <v>5</v>
      </c>
      <c r="H130">
        <v>252.3699</v>
      </c>
    </row>
    <row r="131" spans="1:8">
      <c r="A131">
        <v>2022</v>
      </c>
      <c r="B131">
        <v>10</v>
      </c>
      <c r="C131" t="s">
        <v>44</v>
      </c>
      <c r="D131">
        <v>124064.02</v>
      </c>
      <c r="E131">
        <v>124491.63</v>
      </c>
      <c r="F131">
        <v>100</v>
      </c>
      <c r="G131">
        <v>5</v>
      </c>
      <c r="H131">
        <v>248.98326</v>
      </c>
    </row>
    <row r="132" spans="1:8">
      <c r="A132">
        <v>2022</v>
      </c>
      <c r="B132">
        <v>11</v>
      </c>
      <c r="C132" t="s">
        <v>44</v>
      </c>
      <c r="D132">
        <v>119273.36</v>
      </c>
      <c r="E132">
        <v>123982.26</v>
      </c>
      <c r="F132">
        <v>100</v>
      </c>
      <c r="G132">
        <v>5</v>
      </c>
      <c r="H132">
        <v>247.96452</v>
      </c>
    </row>
    <row r="133" spans="1:8">
      <c r="A133">
        <v>2022</v>
      </c>
      <c r="B133">
        <v>12</v>
      </c>
      <c r="C133" t="s">
        <v>44</v>
      </c>
      <c r="D133">
        <v>46367.2</v>
      </c>
      <c r="E133">
        <v>51687.26</v>
      </c>
      <c r="F133">
        <v>100</v>
      </c>
      <c r="G133">
        <v>5</v>
      </c>
      <c r="H133">
        <v>103.37452</v>
      </c>
    </row>
    <row r="134" spans="1:8">
      <c r="A134">
        <v>2022</v>
      </c>
      <c r="B134">
        <v>1</v>
      </c>
      <c r="C134" t="s">
        <v>45</v>
      </c>
      <c r="D134">
        <v>27905</v>
      </c>
      <c r="E134">
        <v>61760.17</v>
      </c>
      <c r="F134">
        <v>100</v>
      </c>
      <c r="G134">
        <v>5</v>
      </c>
      <c r="H134">
        <v>123.52034</v>
      </c>
    </row>
    <row r="135" spans="1:8">
      <c r="A135">
        <v>2022</v>
      </c>
      <c r="B135">
        <v>2</v>
      </c>
      <c r="C135" t="s">
        <v>45</v>
      </c>
      <c r="D135">
        <v>27217</v>
      </c>
      <c r="E135">
        <v>73761.4</v>
      </c>
      <c r="F135">
        <v>100</v>
      </c>
      <c r="G135">
        <v>5</v>
      </c>
      <c r="H135">
        <v>147.5228</v>
      </c>
    </row>
    <row r="136" spans="1:8">
      <c r="A136">
        <v>2022</v>
      </c>
      <c r="B136">
        <v>3</v>
      </c>
      <c r="C136" t="s">
        <v>45</v>
      </c>
      <c r="D136">
        <v>24321.05</v>
      </c>
      <c r="E136">
        <v>70536.09</v>
      </c>
      <c r="F136">
        <v>100</v>
      </c>
      <c r="G136">
        <v>5</v>
      </c>
      <c r="H136">
        <v>141.07218</v>
      </c>
    </row>
    <row r="137" spans="1:8">
      <c r="A137">
        <v>2022</v>
      </c>
      <c r="B137">
        <v>4</v>
      </c>
      <c r="C137" t="s">
        <v>45</v>
      </c>
      <c r="D137">
        <v>33510.39</v>
      </c>
      <c r="E137">
        <v>68158.74</v>
      </c>
      <c r="F137">
        <v>100</v>
      </c>
      <c r="G137">
        <v>5</v>
      </c>
      <c r="H137">
        <v>136.31748</v>
      </c>
    </row>
    <row r="138" spans="1:8">
      <c r="A138">
        <v>2022</v>
      </c>
      <c r="B138">
        <v>5</v>
      </c>
      <c r="C138" t="s">
        <v>45</v>
      </c>
      <c r="D138">
        <v>22580</v>
      </c>
      <c r="E138">
        <v>57778.35</v>
      </c>
      <c r="F138">
        <v>100</v>
      </c>
      <c r="G138">
        <v>5</v>
      </c>
      <c r="H138">
        <v>115.5567</v>
      </c>
    </row>
    <row r="139" spans="1:8">
      <c r="A139">
        <v>2022</v>
      </c>
      <c r="B139">
        <v>6</v>
      </c>
      <c r="C139" t="s">
        <v>45</v>
      </c>
      <c r="D139">
        <v>34321</v>
      </c>
      <c r="E139">
        <v>71719.35</v>
      </c>
      <c r="F139">
        <v>100</v>
      </c>
      <c r="G139">
        <v>5</v>
      </c>
      <c r="H139">
        <v>143.4387</v>
      </c>
    </row>
    <row r="140" spans="1:8">
      <c r="A140">
        <v>2022</v>
      </c>
      <c r="B140">
        <v>7</v>
      </c>
      <c r="C140" t="s">
        <v>45</v>
      </c>
      <c r="D140">
        <v>41429.1</v>
      </c>
      <c r="E140">
        <v>58747.87</v>
      </c>
      <c r="F140">
        <v>100</v>
      </c>
      <c r="G140">
        <v>5</v>
      </c>
      <c r="H140">
        <v>117.49574</v>
      </c>
    </row>
    <row r="141" spans="1:8">
      <c r="A141">
        <v>2022</v>
      </c>
      <c r="B141">
        <v>8</v>
      </c>
      <c r="C141" t="s">
        <v>45</v>
      </c>
      <c r="D141">
        <v>28858.04</v>
      </c>
      <c r="E141">
        <v>61407.84</v>
      </c>
      <c r="F141">
        <v>100</v>
      </c>
      <c r="G141">
        <v>5</v>
      </c>
      <c r="H141">
        <v>122.81568</v>
      </c>
    </row>
    <row r="142" spans="1:8">
      <c r="A142">
        <v>2022</v>
      </c>
      <c r="B142">
        <v>9</v>
      </c>
      <c r="C142" t="s">
        <v>45</v>
      </c>
      <c r="D142">
        <v>16784</v>
      </c>
      <c r="E142">
        <v>42529.54</v>
      </c>
      <c r="F142">
        <v>100</v>
      </c>
      <c r="G142">
        <v>5</v>
      </c>
      <c r="H142">
        <v>85.05908</v>
      </c>
    </row>
    <row r="143" spans="1:8">
      <c r="A143">
        <v>2022</v>
      </c>
      <c r="B143">
        <v>10</v>
      </c>
      <c r="C143" t="s">
        <v>45</v>
      </c>
      <c r="D143">
        <v>26599</v>
      </c>
      <c r="E143">
        <v>62097.31</v>
      </c>
      <c r="F143">
        <v>100</v>
      </c>
      <c r="G143">
        <v>5</v>
      </c>
      <c r="H143">
        <v>124.19462</v>
      </c>
    </row>
    <row r="144" spans="1:8">
      <c r="A144">
        <v>2022</v>
      </c>
      <c r="B144">
        <v>11</v>
      </c>
      <c r="C144" t="s">
        <v>45</v>
      </c>
      <c r="D144">
        <v>13378</v>
      </c>
      <c r="E144">
        <v>42240.81</v>
      </c>
      <c r="F144">
        <v>100</v>
      </c>
      <c r="G144">
        <v>5</v>
      </c>
      <c r="H144">
        <v>84.48162</v>
      </c>
    </row>
    <row r="145" spans="1:8">
      <c r="A145">
        <v>2022</v>
      </c>
      <c r="B145">
        <v>12</v>
      </c>
      <c r="C145" t="s">
        <v>45</v>
      </c>
      <c r="D145">
        <v>15570.99</v>
      </c>
      <c r="E145">
        <v>89784.7</v>
      </c>
      <c r="F145">
        <v>100</v>
      </c>
      <c r="G145">
        <v>5</v>
      </c>
      <c r="H145">
        <v>179.5694</v>
      </c>
    </row>
    <row r="146" spans="1:8">
      <c r="A146">
        <v>2022</v>
      </c>
      <c r="B146">
        <v>1</v>
      </c>
      <c r="C146" t="s">
        <v>46</v>
      </c>
      <c r="D146">
        <v>8241</v>
      </c>
      <c r="E146">
        <v>9341</v>
      </c>
      <c r="F146">
        <v>100</v>
      </c>
      <c r="G146">
        <v>5</v>
      </c>
      <c r="H146">
        <v>18.682</v>
      </c>
    </row>
    <row r="147" spans="1:8">
      <c r="A147">
        <v>2022</v>
      </c>
      <c r="B147">
        <v>2</v>
      </c>
      <c r="C147" t="s">
        <v>46</v>
      </c>
      <c r="D147">
        <v>8180</v>
      </c>
      <c r="E147">
        <v>9280</v>
      </c>
      <c r="F147">
        <v>100</v>
      </c>
      <c r="G147">
        <v>5</v>
      </c>
      <c r="H147">
        <v>18.56</v>
      </c>
    </row>
    <row r="148" spans="1:8">
      <c r="A148">
        <v>2022</v>
      </c>
      <c r="B148">
        <v>3</v>
      </c>
      <c r="C148" t="s">
        <v>46</v>
      </c>
      <c r="D148">
        <v>7418</v>
      </c>
      <c r="E148">
        <v>8518</v>
      </c>
      <c r="F148">
        <v>100</v>
      </c>
      <c r="G148">
        <v>5</v>
      </c>
      <c r="H148">
        <v>17.036</v>
      </c>
    </row>
    <row r="149" spans="1:8">
      <c r="A149">
        <v>2022</v>
      </c>
      <c r="B149">
        <v>4</v>
      </c>
      <c r="C149" t="s">
        <v>46</v>
      </c>
      <c r="D149">
        <v>25756</v>
      </c>
      <c r="E149">
        <v>29056</v>
      </c>
      <c r="F149">
        <v>100</v>
      </c>
      <c r="G149">
        <v>5</v>
      </c>
      <c r="H149">
        <v>58.112</v>
      </c>
    </row>
    <row r="150" spans="1:8">
      <c r="A150">
        <v>2022</v>
      </c>
      <c r="B150">
        <v>5</v>
      </c>
      <c r="C150" t="s">
        <v>46</v>
      </c>
      <c r="D150">
        <v>13210</v>
      </c>
      <c r="E150">
        <v>14860</v>
      </c>
      <c r="F150">
        <v>100</v>
      </c>
      <c r="G150">
        <v>5</v>
      </c>
      <c r="H150">
        <v>29.72</v>
      </c>
    </row>
    <row r="151" spans="1:8">
      <c r="A151">
        <v>2022</v>
      </c>
      <c r="B151">
        <v>6</v>
      </c>
      <c r="C151" t="s">
        <v>46</v>
      </c>
      <c r="D151">
        <v>12270</v>
      </c>
      <c r="E151">
        <v>13920</v>
      </c>
      <c r="F151">
        <v>100</v>
      </c>
      <c r="G151">
        <v>5</v>
      </c>
      <c r="H151">
        <v>27.84</v>
      </c>
    </row>
    <row r="152" spans="1:8">
      <c r="A152">
        <v>2022</v>
      </c>
      <c r="B152">
        <v>7</v>
      </c>
      <c r="C152" t="s">
        <v>46</v>
      </c>
      <c r="D152">
        <v>11235</v>
      </c>
      <c r="E152">
        <v>12264.03</v>
      </c>
      <c r="F152">
        <v>100</v>
      </c>
      <c r="G152">
        <v>5</v>
      </c>
      <c r="H152">
        <v>24.52806</v>
      </c>
    </row>
    <row r="153" spans="1:8">
      <c r="A153">
        <v>2022</v>
      </c>
      <c r="B153">
        <v>8</v>
      </c>
      <c r="C153" t="s">
        <v>46</v>
      </c>
      <c r="D153">
        <v>13670</v>
      </c>
      <c r="E153">
        <v>15650.01</v>
      </c>
      <c r="F153">
        <v>100</v>
      </c>
      <c r="G153">
        <v>5</v>
      </c>
      <c r="H153">
        <v>31.30002</v>
      </c>
    </row>
    <row r="154" spans="1:8">
      <c r="A154">
        <v>2022</v>
      </c>
      <c r="B154">
        <v>9</v>
      </c>
      <c r="C154" t="s">
        <v>46</v>
      </c>
      <c r="D154">
        <v>7240</v>
      </c>
      <c r="E154">
        <v>8759.29</v>
      </c>
      <c r="F154">
        <v>100</v>
      </c>
      <c r="G154">
        <v>5</v>
      </c>
      <c r="H154">
        <v>17.51858</v>
      </c>
    </row>
    <row r="155" spans="1:8">
      <c r="A155">
        <v>2022</v>
      </c>
      <c r="B155">
        <v>10</v>
      </c>
      <c r="C155" t="s">
        <v>46</v>
      </c>
      <c r="D155">
        <v>5510</v>
      </c>
      <c r="E155">
        <v>6940</v>
      </c>
      <c r="F155">
        <v>100</v>
      </c>
      <c r="G155">
        <v>5</v>
      </c>
      <c r="H155">
        <v>13.88</v>
      </c>
    </row>
    <row r="156" spans="1:8">
      <c r="A156">
        <v>2022</v>
      </c>
      <c r="B156">
        <v>11</v>
      </c>
      <c r="C156" t="s">
        <v>46</v>
      </c>
      <c r="D156">
        <v>5675</v>
      </c>
      <c r="E156">
        <v>6206.67</v>
      </c>
      <c r="F156">
        <v>100</v>
      </c>
      <c r="G156">
        <v>5</v>
      </c>
      <c r="H156">
        <v>12.41334</v>
      </c>
    </row>
    <row r="157" spans="1:8">
      <c r="A157">
        <v>2022</v>
      </c>
      <c r="B157">
        <v>12</v>
      </c>
      <c r="C157" t="s">
        <v>46</v>
      </c>
      <c r="D157">
        <v>4550</v>
      </c>
      <c r="E157">
        <v>4961.61</v>
      </c>
      <c r="F157">
        <v>100</v>
      </c>
      <c r="G157">
        <v>5</v>
      </c>
      <c r="H157">
        <v>9.92322</v>
      </c>
    </row>
  </sheetData>
  <pageMargins left="0.7" right="0.7" top="0.75" bottom="0.75" header="0.3" footer="0.3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5"/>
  <sheetViews>
    <sheetView workbookViewId="0">
      <selection activeCell="A1" sqref="A1:H145"/>
    </sheetView>
  </sheetViews>
  <sheetFormatPr defaultColWidth="9" defaultRowHeight="14.25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1</v>
      </c>
      <c r="C2" t="s">
        <v>47</v>
      </c>
      <c r="D2">
        <v>115976</v>
      </c>
      <c r="E2">
        <v>343526</v>
      </c>
      <c r="F2">
        <v>181</v>
      </c>
      <c r="G2">
        <v>4</v>
      </c>
      <c r="H2">
        <v>5409111.04972376</v>
      </c>
    </row>
    <row r="3" spans="1:8">
      <c r="A3">
        <v>2022</v>
      </c>
      <c r="B3">
        <v>2</v>
      </c>
      <c r="C3" t="s">
        <v>47</v>
      </c>
      <c r="D3">
        <v>163640</v>
      </c>
      <c r="E3">
        <v>409588</v>
      </c>
      <c r="F3">
        <v>181</v>
      </c>
      <c r="G3">
        <v>4</v>
      </c>
      <c r="H3">
        <v>6449313.8121547</v>
      </c>
    </row>
    <row r="4" spans="1:8">
      <c r="A4">
        <v>2022</v>
      </c>
      <c r="B4">
        <v>3</v>
      </c>
      <c r="C4" t="s">
        <v>47</v>
      </c>
      <c r="D4">
        <v>120392</v>
      </c>
      <c r="E4">
        <v>380016</v>
      </c>
      <c r="F4">
        <v>181</v>
      </c>
      <c r="G4">
        <v>4</v>
      </c>
      <c r="H4">
        <v>5983677.3480663</v>
      </c>
    </row>
    <row r="5" spans="1:8">
      <c r="A5">
        <v>2022</v>
      </c>
      <c r="B5">
        <v>4</v>
      </c>
      <c r="C5" t="s">
        <v>47</v>
      </c>
      <c r="D5">
        <v>95148</v>
      </c>
      <c r="E5">
        <v>237098</v>
      </c>
      <c r="F5">
        <v>181</v>
      </c>
      <c r="G5">
        <v>4</v>
      </c>
      <c r="H5">
        <v>3733311.04972376</v>
      </c>
    </row>
    <row r="6" spans="1:8">
      <c r="A6">
        <v>2022</v>
      </c>
      <c r="B6">
        <v>5</v>
      </c>
      <c r="C6" t="s">
        <v>47</v>
      </c>
      <c r="D6">
        <v>90992</v>
      </c>
      <c r="E6">
        <v>210292</v>
      </c>
      <c r="F6">
        <v>181</v>
      </c>
      <c r="G6">
        <v>4</v>
      </c>
      <c r="H6">
        <v>3311227.62430939</v>
      </c>
    </row>
    <row r="7" spans="1:8">
      <c r="A7">
        <v>2022</v>
      </c>
      <c r="B7">
        <v>6</v>
      </c>
      <c r="C7" t="s">
        <v>47</v>
      </c>
      <c r="D7">
        <v>130324</v>
      </c>
      <c r="E7">
        <v>257524</v>
      </c>
      <c r="F7">
        <v>181</v>
      </c>
      <c r="G7">
        <v>4</v>
      </c>
      <c r="H7">
        <v>4054935.91160221</v>
      </c>
    </row>
    <row r="8" spans="1:8">
      <c r="A8">
        <v>2022</v>
      </c>
      <c r="B8">
        <v>7</v>
      </c>
      <c r="C8" t="s">
        <v>47</v>
      </c>
      <c r="D8">
        <v>83576</v>
      </c>
      <c r="E8">
        <v>88135.79</v>
      </c>
      <c r="F8">
        <v>181</v>
      </c>
      <c r="G8">
        <v>4</v>
      </c>
      <c r="H8">
        <v>1387773.48895028</v>
      </c>
    </row>
    <row r="9" spans="1:8">
      <c r="A9">
        <v>2022</v>
      </c>
      <c r="B9">
        <v>8</v>
      </c>
      <c r="C9" t="s">
        <v>47</v>
      </c>
      <c r="D9">
        <v>95972</v>
      </c>
      <c r="E9">
        <v>152378.04</v>
      </c>
      <c r="F9">
        <v>181</v>
      </c>
      <c r="G9">
        <v>4</v>
      </c>
      <c r="H9">
        <v>2399322.72928177</v>
      </c>
    </row>
    <row r="10" spans="1:8">
      <c r="A10">
        <v>2022</v>
      </c>
      <c r="B10">
        <v>9</v>
      </c>
      <c r="C10" t="s">
        <v>47</v>
      </c>
      <c r="D10">
        <v>108712</v>
      </c>
      <c r="E10">
        <v>297813.94</v>
      </c>
      <c r="F10">
        <v>181</v>
      </c>
      <c r="G10">
        <v>4</v>
      </c>
      <c r="H10">
        <v>4689335.51933702</v>
      </c>
    </row>
    <row r="11" spans="1:8">
      <c r="A11">
        <v>2022</v>
      </c>
      <c r="B11">
        <v>10</v>
      </c>
      <c r="C11" t="s">
        <v>47</v>
      </c>
      <c r="D11">
        <v>105428</v>
      </c>
      <c r="E11">
        <v>304473.37</v>
      </c>
      <c r="F11">
        <v>181</v>
      </c>
      <c r="G11">
        <v>4</v>
      </c>
      <c r="H11">
        <v>4794193.94751381</v>
      </c>
    </row>
    <row r="12" spans="1:8">
      <c r="A12">
        <v>2022</v>
      </c>
      <c r="B12">
        <v>11</v>
      </c>
      <c r="C12" t="s">
        <v>47</v>
      </c>
      <c r="D12">
        <v>112848</v>
      </c>
      <c r="E12">
        <v>285404.14</v>
      </c>
      <c r="F12">
        <v>181</v>
      </c>
      <c r="G12">
        <v>4</v>
      </c>
      <c r="H12">
        <v>4493932.59116022</v>
      </c>
    </row>
    <row r="13" spans="1:8">
      <c r="A13">
        <v>2022</v>
      </c>
      <c r="B13">
        <v>12</v>
      </c>
      <c r="C13" t="s">
        <v>47</v>
      </c>
      <c r="D13">
        <v>101956</v>
      </c>
      <c r="E13">
        <v>261780.17</v>
      </c>
      <c r="F13">
        <v>181</v>
      </c>
      <c r="G13">
        <v>4</v>
      </c>
      <c r="H13">
        <v>4121952.95303867</v>
      </c>
    </row>
    <row r="14" spans="1:8">
      <c r="A14">
        <v>2022</v>
      </c>
      <c r="B14">
        <v>1</v>
      </c>
      <c r="C14" t="s">
        <v>9</v>
      </c>
      <c r="D14">
        <v>44407.44</v>
      </c>
      <c r="E14">
        <v>78786.79</v>
      </c>
      <c r="F14">
        <v>369</v>
      </c>
      <c r="G14">
        <v>5</v>
      </c>
      <c r="H14">
        <v>486812.686178862</v>
      </c>
    </row>
    <row r="15" spans="1:8">
      <c r="A15">
        <v>2022</v>
      </c>
      <c r="B15">
        <v>2</v>
      </c>
      <c r="C15" t="s">
        <v>9</v>
      </c>
      <c r="D15">
        <v>60783.79</v>
      </c>
      <c r="E15">
        <v>107164.79</v>
      </c>
      <c r="F15">
        <v>369</v>
      </c>
      <c r="G15">
        <v>5</v>
      </c>
      <c r="H15">
        <v>662156.42601626</v>
      </c>
    </row>
    <row r="16" spans="1:8">
      <c r="A16">
        <v>2022</v>
      </c>
      <c r="B16">
        <v>3</v>
      </c>
      <c r="C16" t="s">
        <v>9</v>
      </c>
      <c r="D16">
        <v>54247.98</v>
      </c>
      <c r="E16">
        <v>100513.98</v>
      </c>
      <c r="F16">
        <v>369</v>
      </c>
      <c r="G16">
        <v>5</v>
      </c>
      <c r="H16">
        <v>621061.990243902</v>
      </c>
    </row>
    <row r="17" spans="1:8">
      <c r="A17">
        <v>2022</v>
      </c>
      <c r="B17">
        <v>4</v>
      </c>
      <c r="C17" t="s">
        <v>9</v>
      </c>
      <c r="D17">
        <v>59647.28</v>
      </c>
      <c r="E17">
        <v>106995.28</v>
      </c>
      <c r="F17">
        <v>369</v>
      </c>
      <c r="G17">
        <v>5</v>
      </c>
      <c r="H17">
        <v>661109.047154472</v>
      </c>
    </row>
    <row r="18" spans="1:8">
      <c r="A18">
        <v>2022</v>
      </c>
      <c r="B18">
        <v>5</v>
      </c>
      <c r="C18" t="s">
        <v>9</v>
      </c>
      <c r="D18">
        <v>61188.01</v>
      </c>
      <c r="E18">
        <v>118610.01</v>
      </c>
      <c r="F18">
        <v>369</v>
      </c>
      <c r="G18">
        <v>5</v>
      </c>
      <c r="H18">
        <v>732874.858536585</v>
      </c>
    </row>
    <row r="19" spans="1:8">
      <c r="A19">
        <v>2022</v>
      </c>
      <c r="B19">
        <v>6</v>
      </c>
      <c r="C19" t="s">
        <v>9</v>
      </c>
      <c r="D19">
        <v>75321.21</v>
      </c>
      <c r="E19">
        <v>136356.21</v>
      </c>
      <c r="F19">
        <v>369</v>
      </c>
      <c r="G19">
        <v>5</v>
      </c>
      <c r="H19">
        <v>842526.175609756</v>
      </c>
    </row>
    <row r="20" spans="1:8">
      <c r="A20">
        <v>2022</v>
      </c>
      <c r="B20">
        <v>7</v>
      </c>
      <c r="C20" t="s">
        <v>9</v>
      </c>
      <c r="D20">
        <v>58195.01</v>
      </c>
      <c r="E20">
        <v>56067.09</v>
      </c>
      <c r="F20">
        <v>369</v>
      </c>
      <c r="G20">
        <v>5</v>
      </c>
      <c r="H20">
        <v>346430.8</v>
      </c>
    </row>
    <row r="21" spans="1:8">
      <c r="A21">
        <v>2022</v>
      </c>
      <c r="B21">
        <v>8</v>
      </c>
      <c r="C21" t="s">
        <v>9</v>
      </c>
      <c r="D21">
        <v>70057.57</v>
      </c>
      <c r="E21">
        <v>121633.64</v>
      </c>
      <c r="F21">
        <v>369</v>
      </c>
      <c r="G21">
        <v>5</v>
      </c>
      <c r="H21">
        <v>751557.450406504</v>
      </c>
    </row>
    <row r="22" spans="1:8">
      <c r="A22">
        <v>2022</v>
      </c>
      <c r="B22">
        <v>9</v>
      </c>
      <c r="C22" t="s">
        <v>9</v>
      </c>
      <c r="D22">
        <v>61977.84</v>
      </c>
      <c r="E22">
        <v>113791.19</v>
      </c>
      <c r="F22">
        <v>369</v>
      </c>
      <c r="G22">
        <v>5</v>
      </c>
      <c r="H22">
        <v>703100.035772358</v>
      </c>
    </row>
    <row r="23" spans="1:8">
      <c r="A23">
        <v>2022</v>
      </c>
      <c r="B23">
        <v>10</v>
      </c>
      <c r="C23" t="s">
        <v>9</v>
      </c>
      <c r="D23">
        <v>61683.86</v>
      </c>
      <c r="E23">
        <v>107805.82</v>
      </c>
      <c r="F23">
        <v>369</v>
      </c>
      <c r="G23">
        <v>5</v>
      </c>
      <c r="H23">
        <v>666117.261788618</v>
      </c>
    </row>
    <row r="24" spans="1:8">
      <c r="A24">
        <v>2022</v>
      </c>
      <c r="B24">
        <v>11</v>
      </c>
      <c r="C24" t="s">
        <v>9</v>
      </c>
      <c r="D24">
        <v>66506.25</v>
      </c>
      <c r="E24">
        <v>112042.79</v>
      </c>
      <c r="F24">
        <v>369</v>
      </c>
      <c r="G24">
        <v>5</v>
      </c>
      <c r="H24">
        <v>692296.913821138</v>
      </c>
    </row>
    <row r="25" spans="1:8">
      <c r="A25">
        <v>2022</v>
      </c>
      <c r="B25">
        <v>12</v>
      </c>
      <c r="C25" t="s">
        <v>9</v>
      </c>
      <c r="D25">
        <v>67461.35</v>
      </c>
      <c r="E25">
        <v>121216.57</v>
      </c>
      <c r="F25">
        <v>369</v>
      </c>
      <c r="G25">
        <v>5</v>
      </c>
      <c r="H25">
        <v>748980.432520325</v>
      </c>
    </row>
    <row r="26" spans="1:8">
      <c r="A26">
        <v>2022</v>
      </c>
      <c r="B26">
        <v>1</v>
      </c>
      <c r="C26" t="s">
        <v>48</v>
      </c>
      <c r="D26">
        <v>53810</v>
      </c>
      <c r="E26">
        <v>143230</v>
      </c>
      <c r="F26">
        <v>260</v>
      </c>
      <c r="G26">
        <v>5</v>
      </c>
      <c r="H26">
        <v>1256016.92307692</v>
      </c>
    </row>
    <row r="27" spans="1:8">
      <c r="A27">
        <v>2022</v>
      </c>
      <c r="B27">
        <v>2</v>
      </c>
      <c r="C27" t="s">
        <v>48</v>
      </c>
      <c r="D27">
        <v>70545</v>
      </c>
      <c r="E27">
        <v>205471</v>
      </c>
      <c r="F27">
        <v>260</v>
      </c>
      <c r="G27">
        <v>5</v>
      </c>
      <c r="H27">
        <v>1801822.61538462</v>
      </c>
    </row>
    <row r="28" spans="1:8">
      <c r="A28">
        <v>2022</v>
      </c>
      <c r="B28">
        <v>3</v>
      </c>
      <c r="C28" t="s">
        <v>48</v>
      </c>
      <c r="D28">
        <v>77260</v>
      </c>
      <c r="E28">
        <v>214306</v>
      </c>
      <c r="F28">
        <v>260</v>
      </c>
      <c r="G28">
        <v>5</v>
      </c>
      <c r="H28">
        <v>1879298.76923077</v>
      </c>
    </row>
    <row r="29" spans="1:8">
      <c r="A29">
        <v>2022</v>
      </c>
      <c r="B29">
        <v>4</v>
      </c>
      <c r="C29" t="s">
        <v>48</v>
      </c>
      <c r="D29">
        <v>91540</v>
      </c>
      <c r="E29">
        <v>227056</v>
      </c>
      <c r="F29">
        <v>260</v>
      </c>
      <c r="G29">
        <v>5</v>
      </c>
      <c r="H29">
        <v>1991106.46153846</v>
      </c>
    </row>
    <row r="30" spans="1:8">
      <c r="A30">
        <v>2022</v>
      </c>
      <c r="B30">
        <v>5</v>
      </c>
      <c r="C30" t="s">
        <v>48</v>
      </c>
      <c r="D30">
        <v>79775</v>
      </c>
      <c r="E30">
        <v>214551</v>
      </c>
      <c r="F30">
        <v>260</v>
      </c>
      <c r="G30">
        <v>5</v>
      </c>
      <c r="H30">
        <v>1881447.23076923</v>
      </c>
    </row>
    <row r="31" spans="1:8">
      <c r="A31">
        <v>2022</v>
      </c>
      <c r="B31">
        <v>6</v>
      </c>
      <c r="C31" t="s">
        <v>48</v>
      </c>
      <c r="D31">
        <v>101170</v>
      </c>
      <c r="E31">
        <v>255586</v>
      </c>
      <c r="F31">
        <v>260</v>
      </c>
      <c r="G31">
        <v>5</v>
      </c>
      <c r="H31">
        <v>2241292.61538462</v>
      </c>
    </row>
    <row r="32" spans="1:8">
      <c r="A32">
        <v>2022</v>
      </c>
      <c r="B32">
        <v>7</v>
      </c>
      <c r="C32" t="s">
        <v>48</v>
      </c>
      <c r="D32">
        <v>68990</v>
      </c>
      <c r="E32">
        <v>162142.61</v>
      </c>
      <c r="F32">
        <v>260</v>
      </c>
      <c r="G32">
        <v>5</v>
      </c>
      <c r="H32">
        <v>1421865.96461538</v>
      </c>
    </row>
    <row r="33" spans="1:8">
      <c r="A33">
        <v>2022</v>
      </c>
      <c r="B33">
        <v>8</v>
      </c>
      <c r="C33" t="s">
        <v>48</v>
      </c>
      <c r="D33">
        <v>97155</v>
      </c>
      <c r="E33">
        <v>195452.51</v>
      </c>
      <c r="F33">
        <v>260</v>
      </c>
      <c r="G33">
        <v>5</v>
      </c>
      <c r="H33">
        <v>1713968.16461538</v>
      </c>
    </row>
    <row r="34" spans="1:8">
      <c r="A34">
        <v>2022</v>
      </c>
      <c r="B34">
        <v>9</v>
      </c>
      <c r="C34" t="s">
        <v>48</v>
      </c>
      <c r="D34">
        <v>88995</v>
      </c>
      <c r="E34">
        <v>223751.23</v>
      </c>
      <c r="F34">
        <v>260</v>
      </c>
      <c r="G34">
        <v>5</v>
      </c>
      <c r="H34">
        <v>1962126.17076923</v>
      </c>
    </row>
    <row r="35" spans="1:8">
      <c r="A35">
        <v>2022</v>
      </c>
      <c r="B35">
        <v>10</v>
      </c>
      <c r="C35" t="s">
        <v>48</v>
      </c>
      <c r="D35">
        <v>74825</v>
      </c>
      <c r="E35">
        <v>203678.74</v>
      </c>
      <c r="F35">
        <v>260</v>
      </c>
      <c r="G35">
        <v>5</v>
      </c>
      <c r="H35">
        <v>1786105.87384615</v>
      </c>
    </row>
    <row r="36" spans="1:8">
      <c r="A36">
        <v>2022</v>
      </c>
      <c r="B36">
        <v>11</v>
      </c>
      <c r="C36" t="s">
        <v>48</v>
      </c>
      <c r="D36">
        <v>82975</v>
      </c>
      <c r="E36">
        <v>218507.51</v>
      </c>
      <c r="F36">
        <v>260</v>
      </c>
      <c r="G36">
        <v>5</v>
      </c>
      <c r="H36">
        <v>1916142.78</v>
      </c>
    </row>
    <row r="37" spans="1:8">
      <c r="A37">
        <v>2022</v>
      </c>
      <c r="B37">
        <v>12</v>
      </c>
      <c r="C37" t="s">
        <v>48</v>
      </c>
      <c r="D37">
        <v>82935</v>
      </c>
      <c r="E37">
        <v>247330.47</v>
      </c>
      <c r="F37">
        <v>260</v>
      </c>
      <c r="G37">
        <v>5</v>
      </c>
      <c r="H37">
        <v>2168897.96769231</v>
      </c>
    </row>
    <row r="38" spans="1:8">
      <c r="A38">
        <v>2022</v>
      </c>
      <c r="B38">
        <v>1</v>
      </c>
      <c r="C38" t="s">
        <v>11</v>
      </c>
      <c r="D38">
        <v>214750</v>
      </c>
      <c r="E38">
        <v>215550</v>
      </c>
      <c r="F38">
        <v>170</v>
      </c>
      <c r="G38">
        <v>10</v>
      </c>
      <c r="H38">
        <v>1445452.94117647</v>
      </c>
    </row>
    <row r="39" spans="1:8">
      <c r="A39">
        <v>2022</v>
      </c>
      <c r="B39">
        <v>2</v>
      </c>
      <c r="C39" t="s">
        <v>11</v>
      </c>
      <c r="D39">
        <v>361600</v>
      </c>
      <c r="E39">
        <v>364100</v>
      </c>
      <c r="F39">
        <v>170</v>
      </c>
      <c r="G39">
        <v>10</v>
      </c>
      <c r="H39">
        <v>2441611.76470588</v>
      </c>
    </row>
    <row r="40" spans="1:8">
      <c r="A40">
        <v>2022</v>
      </c>
      <c r="B40">
        <v>3</v>
      </c>
      <c r="C40" t="s">
        <v>11</v>
      </c>
      <c r="D40">
        <v>320750</v>
      </c>
      <c r="E40">
        <v>323250</v>
      </c>
      <c r="F40">
        <v>170</v>
      </c>
      <c r="G40">
        <v>10</v>
      </c>
      <c r="H40">
        <v>2167676.47058824</v>
      </c>
    </row>
    <row r="41" spans="1:8">
      <c r="A41">
        <v>2022</v>
      </c>
      <c r="B41">
        <v>4</v>
      </c>
      <c r="C41" t="s">
        <v>11</v>
      </c>
      <c r="D41">
        <v>347090</v>
      </c>
      <c r="E41">
        <v>349590</v>
      </c>
      <c r="F41">
        <v>170</v>
      </c>
      <c r="G41">
        <v>10</v>
      </c>
      <c r="H41">
        <v>2344309.41176471</v>
      </c>
    </row>
    <row r="42" spans="1:8">
      <c r="A42">
        <v>2022</v>
      </c>
      <c r="B42">
        <v>5</v>
      </c>
      <c r="C42" t="s">
        <v>11</v>
      </c>
      <c r="D42">
        <v>350070</v>
      </c>
      <c r="E42">
        <v>352570</v>
      </c>
      <c r="F42">
        <v>170</v>
      </c>
      <c r="G42">
        <v>10</v>
      </c>
      <c r="H42">
        <v>2364292.94117647</v>
      </c>
    </row>
    <row r="43" spans="1:8">
      <c r="A43">
        <v>2022</v>
      </c>
      <c r="B43">
        <v>6</v>
      </c>
      <c r="C43" t="s">
        <v>11</v>
      </c>
      <c r="D43">
        <v>466810</v>
      </c>
      <c r="E43">
        <v>469310</v>
      </c>
      <c r="F43">
        <v>170</v>
      </c>
      <c r="G43">
        <v>10</v>
      </c>
      <c r="H43">
        <v>3147137.64705882</v>
      </c>
    </row>
    <row r="44" spans="1:8">
      <c r="A44">
        <v>2022</v>
      </c>
      <c r="B44">
        <v>7</v>
      </c>
      <c r="C44" t="s">
        <v>11</v>
      </c>
      <c r="D44">
        <v>338860</v>
      </c>
      <c r="E44">
        <v>338873.8</v>
      </c>
      <c r="F44">
        <v>170</v>
      </c>
      <c r="G44">
        <v>10</v>
      </c>
      <c r="H44">
        <v>2272447.83529412</v>
      </c>
    </row>
    <row r="45" spans="1:8">
      <c r="A45">
        <v>2022</v>
      </c>
      <c r="B45">
        <v>8</v>
      </c>
      <c r="C45" t="s">
        <v>11</v>
      </c>
      <c r="D45">
        <v>409310</v>
      </c>
      <c r="E45">
        <v>411276.35</v>
      </c>
      <c r="F45">
        <v>170</v>
      </c>
      <c r="G45">
        <v>10</v>
      </c>
      <c r="H45">
        <v>2757970.81764706</v>
      </c>
    </row>
    <row r="46" spans="1:8">
      <c r="A46">
        <v>2022</v>
      </c>
      <c r="B46">
        <v>9</v>
      </c>
      <c r="C46" t="s">
        <v>11</v>
      </c>
      <c r="D46">
        <v>369790</v>
      </c>
      <c r="E46">
        <v>371624.21</v>
      </c>
      <c r="F46">
        <v>170</v>
      </c>
      <c r="G46">
        <v>10</v>
      </c>
      <c r="H46">
        <v>2492068.23176471</v>
      </c>
    </row>
    <row r="47" spans="1:8">
      <c r="A47">
        <v>2022</v>
      </c>
      <c r="B47">
        <v>10</v>
      </c>
      <c r="C47" t="s">
        <v>11</v>
      </c>
      <c r="D47">
        <v>373880</v>
      </c>
      <c r="E47">
        <v>375513.36</v>
      </c>
      <c r="F47">
        <v>170</v>
      </c>
      <c r="G47">
        <v>10</v>
      </c>
      <c r="H47">
        <v>2518148.41411765</v>
      </c>
    </row>
    <row r="48" spans="1:8">
      <c r="A48">
        <v>2022</v>
      </c>
      <c r="B48">
        <v>11</v>
      </c>
      <c r="C48" t="s">
        <v>11</v>
      </c>
      <c r="D48">
        <v>365450</v>
      </c>
      <c r="E48">
        <v>367034.29</v>
      </c>
      <c r="F48">
        <v>170</v>
      </c>
      <c r="G48">
        <v>10</v>
      </c>
      <c r="H48">
        <v>2461288.76823529</v>
      </c>
    </row>
    <row r="49" spans="1:8">
      <c r="A49">
        <v>2022</v>
      </c>
      <c r="B49">
        <v>12</v>
      </c>
      <c r="C49" t="s">
        <v>11</v>
      </c>
      <c r="D49">
        <v>335460</v>
      </c>
      <c r="E49">
        <v>337781.54</v>
      </c>
      <c r="F49">
        <v>170</v>
      </c>
      <c r="G49">
        <v>10</v>
      </c>
      <c r="H49">
        <v>2265123.26823529</v>
      </c>
    </row>
    <row r="50" spans="1:8">
      <c r="A50">
        <v>2022</v>
      </c>
      <c r="B50">
        <v>1</v>
      </c>
      <c r="C50" t="s">
        <v>49</v>
      </c>
      <c r="D50">
        <v>52845</v>
      </c>
      <c r="E50">
        <v>72345</v>
      </c>
      <c r="F50">
        <v>111</v>
      </c>
      <c r="G50">
        <v>5</v>
      </c>
      <c r="H50">
        <v>1486005.40540541</v>
      </c>
    </row>
    <row r="51" spans="1:8">
      <c r="A51">
        <v>2022</v>
      </c>
      <c r="B51">
        <v>2</v>
      </c>
      <c r="C51" t="s">
        <v>49</v>
      </c>
      <c r="D51">
        <v>84210</v>
      </c>
      <c r="E51">
        <v>106710</v>
      </c>
      <c r="F51">
        <v>111</v>
      </c>
      <c r="G51">
        <v>5</v>
      </c>
      <c r="H51">
        <v>2191881.08108108</v>
      </c>
    </row>
    <row r="52" spans="1:8">
      <c r="A52">
        <v>2022</v>
      </c>
      <c r="B52">
        <v>3</v>
      </c>
      <c r="C52" t="s">
        <v>49</v>
      </c>
      <c r="D52">
        <v>69425</v>
      </c>
      <c r="E52">
        <v>91925</v>
      </c>
      <c r="F52">
        <v>111</v>
      </c>
      <c r="G52">
        <v>5</v>
      </c>
      <c r="H52">
        <v>1888189.18918919</v>
      </c>
    </row>
    <row r="53" spans="1:8">
      <c r="A53">
        <v>2022</v>
      </c>
      <c r="B53">
        <v>4</v>
      </c>
      <c r="C53" t="s">
        <v>49</v>
      </c>
      <c r="D53">
        <v>82730</v>
      </c>
      <c r="E53">
        <v>104230</v>
      </c>
      <c r="F53">
        <v>111</v>
      </c>
      <c r="G53">
        <v>5</v>
      </c>
      <c r="H53">
        <v>2140940.54054054</v>
      </c>
    </row>
    <row r="54" spans="1:8">
      <c r="A54">
        <v>2022</v>
      </c>
      <c r="B54">
        <v>5</v>
      </c>
      <c r="C54" t="s">
        <v>49</v>
      </c>
      <c r="D54">
        <v>80540</v>
      </c>
      <c r="E54">
        <v>101540</v>
      </c>
      <c r="F54">
        <v>111</v>
      </c>
      <c r="G54">
        <v>5</v>
      </c>
      <c r="H54">
        <v>2085686.48648649</v>
      </c>
    </row>
    <row r="55" spans="1:8">
      <c r="A55">
        <v>2022</v>
      </c>
      <c r="B55">
        <v>6</v>
      </c>
      <c r="C55" t="s">
        <v>49</v>
      </c>
      <c r="D55">
        <v>91600</v>
      </c>
      <c r="E55">
        <v>116100</v>
      </c>
      <c r="F55">
        <v>111</v>
      </c>
      <c r="G55">
        <v>5</v>
      </c>
      <c r="H55">
        <v>2384756.75675676</v>
      </c>
    </row>
    <row r="56" spans="1:8">
      <c r="A56">
        <v>2022</v>
      </c>
      <c r="B56">
        <v>7</v>
      </c>
      <c r="C56" t="s">
        <v>49</v>
      </c>
      <c r="D56">
        <v>65055</v>
      </c>
      <c r="E56">
        <v>68948.11</v>
      </c>
      <c r="F56">
        <v>111</v>
      </c>
      <c r="G56">
        <v>5</v>
      </c>
      <c r="H56">
        <v>1416231.44864865</v>
      </c>
    </row>
    <row r="57" spans="1:8">
      <c r="A57">
        <v>2022</v>
      </c>
      <c r="B57">
        <v>8</v>
      </c>
      <c r="C57" t="s">
        <v>49</v>
      </c>
      <c r="D57">
        <v>77400</v>
      </c>
      <c r="E57">
        <v>100640.03</v>
      </c>
      <c r="F57">
        <v>111</v>
      </c>
      <c r="G57">
        <v>5</v>
      </c>
      <c r="H57">
        <v>2067200.61621622</v>
      </c>
    </row>
    <row r="58" spans="1:8">
      <c r="A58">
        <v>2022</v>
      </c>
      <c r="B58">
        <v>9</v>
      </c>
      <c r="C58" t="s">
        <v>49</v>
      </c>
      <c r="D58">
        <v>79400</v>
      </c>
      <c r="E58">
        <v>102655.04</v>
      </c>
      <c r="F58">
        <v>111</v>
      </c>
      <c r="G58">
        <v>5</v>
      </c>
      <c r="H58">
        <v>2108590.01081081</v>
      </c>
    </row>
    <row r="59" spans="1:8">
      <c r="A59">
        <v>2022</v>
      </c>
      <c r="B59">
        <v>10</v>
      </c>
      <c r="C59" t="s">
        <v>49</v>
      </c>
      <c r="D59">
        <v>79065</v>
      </c>
      <c r="E59">
        <v>101379.24</v>
      </c>
      <c r="F59">
        <v>111</v>
      </c>
      <c r="G59">
        <v>5</v>
      </c>
      <c r="H59">
        <v>2082384.38918919</v>
      </c>
    </row>
    <row r="60" spans="1:8">
      <c r="A60">
        <v>2022</v>
      </c>
      <c r="B60">
        <v>11</v>
      </c>
      <c r="C60" t="s">
        <v>49</v>
      </c>
      <c r="D60">
        <v>75925</v>
      </c>
      <c r="E60">
        <v>102779.16</v>
      </c>
      <c r="F60">
        <v>111</v>
      </c>
      <c r="G60">
        <v>5</v>
      </c>
      <c r="H60">
        <v>2111139.5027027</v>
      </c>
    </row>
    <row r="61" spans="1:8">
      <c r="A61">
        <v>2022</v>
      </c>
      <c r="B61">
        <v>12</v>
      </c>
      <c r="C61" t="s">
        <v>49</v>
      </c>
      <c r="D61">
        <v>83995</v>
      </c>
      <c r="E61">
        <v>117784.36</v>
      </c>
      <c r="F61">
        <v>111</v>
      </c>
      <c r="G61">
        <v>5</v>
      </c>
      <c r="H61">
        <v>2419354.42162162</v>
      </c>
    </row>
    <row r="62" spans="1:8">
      <c r="A62">
        <v>2022</v>
      </c>
      <c r="B62">
        <v>5</v>
      </c>
      <c r="C62" t="s">
        <v>13</v>
      </c>
      <c r="D62">
        <v>43736</v>
      </c>
      <c r="E62">
        <v>66179</v>
      </c>
      <c r="F62">
        <v>1200</v>
      </c>
      <c r="G62">
        <v>5</v>
      </c>
      <c r="H62">
        <v>125740.1</v>
      </c>
    </row>
    <row r="63" spans="1:8">
      <c r="A63">
        <v>2022</v>
      </c>
      <c r="B63">
        <v>6</v>
      </c>
      <c r="C63" t="s">
        <v>13</v>
      </c>
      <c r="D63">
        <v>65892.26</v>
      </c>
      <c r="E63">
        <v>131912.76</v>
      </c>
      <c r="F63">
        <v>1200</v>
      </c>
      <c r="G63">
        <v>5</v>
      </c>
      <c r="H63">
        <v>250634.244</v>
      </c>
    </row>
    <row r="64" spans="1:8">
      <c r="A64">
        <v>2022</v>
      </c>
      <c r="B64">
        <v>7</v>
      </c>
      <c r="C64" t="s">
        <v>13</v>
      </c>
      <c r="D64">
        <v>49173.18</v>
      </c>
      <c r="E64">
        <v>89134.61</v>
      </c>
      <c r="F64">
        <v>1200</v>
      </c>
      <c r="G64">
        <v>5</v>
      </c>
      <c r="H64">
        <v>169355.759</v>
      </c>
    </row>
    <row r="65" spans="1:8">
      <c r="A65">
        <v>2022</v>
      </c>
      <c r="B65">
        <v>8</v>
      </c>
      <c r="C65" t="s">
        <v>13</v>
      </c>
      <c r="D65">
        <v>55425.44</v>
      </c>
      <c r="E65">
        <v>129374.48</v>
      </c>
      <c r="F65">
        <v>1200</v>
      </c>
      <c r="G65">
        <v>5</v>
      </c>
      <c r="H65">
        <v>245811.512</v>
      </c>
    </row>
    <row r="66" spans="1:8">
      <c r="A66">
        <v>2022</v>
      </c>
      <c r="B66">
        <v>9</v>
      </c>
      <c r="C66" t="s">
        <v>13</v>
      </c>
      <c r="D66">
        <v>56046.69</v>
      </c>
      <c r="E66">
        <v>131015.09</v>
      </c>
      <c r="F66">
        <v>1200</v>
      </c>
      <c r="G66">
        <v>5</v>
      </c>
      <c r="H66">
        <v>248928.671</v>
      </c>
    </row>
    <row r="67" spans="1:8">
      <c r="A67">
        <v>2022</v>
      </c>
      <c r="B67">
        <v>10</v>
      </c>
      <c r="C67" t="s">
        <v>13</v>
      </c>
      <c r="D67">
        <v>51593.57</v>
      </c>
      <c r="E67">
        <v>124207.14</v>
      </c>
      <c r="F67">
        <v>1200</v>
      </c>
      <c r="G67">
        <v>5</v>
      </c>
      <c r="H67">
        <v>235993.566</v>
      </c>
    </row>
    <row r="68" spans="1:8">
      <c r="A68">
        <v>2022</v>
      </c>
      <c r="B68">
        <v>11</v>
      </c>
      <c r="C68" t="s">
        <v>13</v>
      </c>
      <c r="D68">
        <v>58730.49</v>
      </c>
      <c r="E68">
        <v>149647.51</v>
      </c>
      <c r="F68">
        <v>1200</v>
      </c>
      <c r="G68">
        <v>5</v>
      </c>
      <c r="H68">
        <v>284330.269</v>
      </c>
    </row>
    <row r="69" spans="1:8">
      <c r="A69">
        <v>2022</v>
      </c>
      <c r="B69">
        <v>12</v>
      </c>
      <c r="C69" t="s">
        <v>13</v>
      </c>
      <c r="D69">
        <v>66340.31</v>
      </c>
      <c r="E69">
        <v>182965.7</v>
      </c>
      <c r="F69">
        <v>1200</v>
      </c>
      <c r="G69">
        <v>5</v>
      </c>
      <c r="H69">
        <v>347634.83</v>
      </c>
    </row>
    <row r="70" spans="1:8">
      <c r="A70">
        <v>2022</v>
      </c>
      <c r="B70">
        <v>1</v>
      </c>
      <c r="C70" t="s">
        <v>13</v>
      </c>
      <c r="D70">
        <v>27797.21</v>
      </c>
      <c r="E70">
        <v>88243.81</v>
      </c>
      <c r="F70">
        <v>1200</v>
      </c>
      <c r="G70">
        <v>5</v>
      </c>
      <c r="H70">
        <v>167663.239</v>
      </c>
    </row>
    <row r="71" spans="1:8">
      <c r="A71">
        <v>2022</v>
      </c>
      <c r="B71">
        <v>2</v>
      </c>
      <c r="C71" t="s">
        <v>13</v>
      </c>
      <c r="D71">
        <v>37780.85</v>
      </c>
      <c r="E71">
        <v>116599.33</v>
      </c>
      <c r="F71">
        <v>1200</v>
      </c>
      <c r="G71">
        <v>5</v>
      </c>
      <c r="H71">
        <v>221538.727</v>
      </c>
    </row>
    <row r="72" spans="1:8">
      <c r="A72">
        <v>2022</v>
      </c>
      <c r="B72">
        <v>3</v>
      </c>
      <c r="C72" t="s">
        <v>13</v>
      </c>
      <c r="D72">
        <v>47107.27</v>
      </c>
      <c r="E72">
        <v>134777.32</v>
      </c>
      <c r="F72">
        <v>1200</v>
      </c>
      <c r="G72">
        <v>5</v>
      </c>
      <c r="H72">
        <v>256076.908</v>
      </c>
    </row>
    <row r="73" spans="1:8">
      <c r="A73">
        <v>2022</v>
      </c>
      <c r="B73">
        <v>4</v>
      </c>
      <c r="C73" t="s">
        <v>13</v>
      </c>
      <c r="D73">
        <v>50826.85</v>
      </c>
      <c r="E73">
        <v>158530.42</v>
      </c>
      <c r="F73">
        <v>1200</v>
      </c>
      <c r="G73">
        <v>5</v>
      </c>
      <c r="H73">
        <v>301207.798</v>
      </c>
    </row>
    <row r="74" spans="1:8">
      <c r="A74">
        <v>2022</v>
      </c>
      <c r="B74">
        <v>1</v>
      </c>
      <c r="C74" t="s">
        <v>50</v>
      </c>
      <c r="D74">
        <v>68985</v>
      </c>
      <c r="E74">
        <v>233468</v>
      </c>
      <c r="F74">
        <v>205</v>
      </c>
      <c r="G74">
        <v>10</v>
      </c>
      <c r="H74">
        <v>1298309.85365854</v>
      </c>
    </row>
    <row r="75" spans="1:8">
      <c r="A75">
        <v>2022</v>
      </c>
      <c r="B75">
        <v>2</v>
      </c>
      <c r="C75" t="s">
        <v>50</v>
      </c>
      <c r="D75">
        <v>78800</v>
      </c>
      <c r="E75">
        <v>227533</v>
      </c>
      <c r="F75">
        <v>205</v>
      </c>
      <c r="G75">
        <v>10</v>
      </c>
      <c r="H75">
        <v>1265305.46341463</v>
      </c>
    </row>
    <row r="76" spans="1:8">
      <c r="A76">
        <v>2022</v>
      </c>
      <c r="B76">
        <v>3</v>
      </c>
      <c r="C76" t="s">
        <v>50</v>
      </c>
      <c r="D76">
        <v>66640</v>
      </c>
      <c r="E76">
        <v>205423</v>
      </c>
      <c r="F76">
        <v>205</v>
      </c>
      <c r="G76">
        <v>10</v>
      </c>
      <c r="H76">
        <v>1142352.29268293</v>
      </c>
    </row>
    <row r="77" spans="1:8">
      <c r="A77">
        <v>2022</v>
      </c>
      <c r="B77">
        <v>4</v>
      </c>
      <c r="C77" t="s">
        <v>50</v>
      </c>
      <c r="D77">
        <v>65535</v>
      </c>
      <c r="E77">
        <v>203568</v>
      </c>
      <c r="F77">
        <v>205</v>
      </c>
      <c r="G77">
        <v>10</v>
      </c>
      <c r="H77">
        <v>1132036.68292683</v>
      </c>
    </row>
    <row r="78" spans="1:8">
      <c r="A78">
        <v>2022</v>
      </c>
      <c r="B78">
        <v>5</v>
      </c>
      <c r="C78" t="s">
        <v>50</v>
      </c>
      <c r="D78">
        <v>76110</v>
      </c>
      <c r="E78">
        <v>239693</v>
      </c>
      <c r="F78">
        <v>205</v>
      </c>
      <c r="G78">
        <v>10</v>
      </c>
      <c r="H78">
        <v>1332926.92682927</v>
      </c>
    </row>
    <row r="79" spans="1:8">
      <c r="A79">
        <v>2022</v>
      </c>
      <c r="B79">
        <v>6</v>
      </c>
      <c r="C79" t="s">
        <v>50</v>
      </c>
      <c r="D79">
        <v>105700</v>
      </c>
      <c r="E79">
        <v>261549</v>
      </c>
      <c r="F79">
        <v>205</v>
      </c>
      <c r="G79">
        <v>10</v>
      </c>
      <c r="H79">
        <v>1454467.6097561</v>
      </c>
    </row>
    <row r="80" spans="1:8">
      <c r="A80">
        <v>2022</v>
      </c>
      <c r="B80">
        <v>7</v>
      </c>
      <c r="C80" t="s">
        <v>50</v>
      </c>
      <c r="D80">
        <v>69825.01</v>
      </c>
      <c r="E80">
        <v>246822.07</v>
      </c>
      <c r="F80">
        <v>205</v>
      </c>
      <c r="G80">
        <v>10</v>
      </c>
      <c r="H80">
        <v>1372571.51121951</v>
      </c>
    </row>
    <row r="81" spans="1:8">
      <c r="A81">
        <v>2022</v>
      </c>
      <c r="B81">
        <v>8</v>
      </c>
      <c r="C81" t="s">
        <v>50</v>
      </c>
      <c r="D81">
        <v>86290</v>
      </c>
      <c r="E81">
        <v>344540.14</v>
      </c>
      <c r="F81">
        <v>205</v>
      </c>
      <c r="G81">
        <v>10</v>
      </c>
      <c r="H81">
        <v>1915979.31512195</v>
      </c>
    </row>
    <row r="82" spans="1:8">
      <c r="A82">
        <v>2022</v>
      </c>
      <c r="B82">
        <v>9</v>
      </c>
      <c r="C82" t="s">
        <v>50</v>
      </c>
      <c r="D82">
        <v>94270</v>
      </c>
      <c r="E82">
        <v>265298.95</v>
      </c>
      <c r="F82">
        <v>205</v>
      </c>
      <c r="G82">
        <v>10</v>
      </c>
      <c r="H82">
        <v>1475320.9902439</v>
      </c>
    </row>
    <row r="83" spans="1:8">
      <c r="A83">
        <v>2022</v>
      </c>
      <c r="B83">
        <v>10</v>
      </c>
      <c r="C83" t="s">
        <v>50</v>
      </c>
      <c r="D83">
        <v>74190</v>
      </c>
      <c r="E83">
        <v>244032.41</v>
      </c>
      <c r="F83">
        <v>205</v>
      </c>
      <c r="G83">
        <v>10</v>
      </c>
      <c r="H83">
        <v>1357058.28</v>
      </c>
    </row>
    <row r="84" spans="1:8">
      <c r="A84">
        <v>2022</v>
      </c>
      <c r="B84">
        <v>11</v>
      </c>
      <c r="C84" t="s">
        <v>50</v>
      </c>
      <c r="D84">
        <v>86220.01</v>
      </c>
      <c r="E84">
        <v>279601.8</v>
      </c>
      <c r="F84">
        <v>205</v>
      </c>
      <c r="G84">
        <v>10</v>
      </c>
      <c r="H84">
        <v>1554858.7902439</v>
      </c>
    </row>
    <row r="85" spans="1:8">
      <c r="A85">
        <v>2022</v>
      </c>
      <c r="B85">
        <v>12</v>
      </c>
      <c r="C85" t="s">
        <v>50</v>
      </c>
      <c r="D85">
        <v>71315</v>
      </c>
      <c r="E85">
        <v>306187.38</v>
      </c>
      <c r="F85">
        <v>205</v>
      </c>
      <c r="G85">
        <v>10</v>
      </c>
      <c r="H85">
        <v>1702700.55219512</v>
      </c>
    </row>
    <row r="86" spans="1:8">
      <c r="A86">
        <v>2022</v>
      </c>
      <c r="B86">
        <v>1</v>
      </c>
      <c r="C86" t="s">
        <v>51</v>
      </c>
      <c r="D86">
        <v>959642.09</v>
      </c>
      <c r="E86">
        <v>959642.09</v>
      </c>
      <c r="F86">
        <v>3800</v>
      </c>
      <c r="G86">
        <v>10</v>
      </c>
      <c r="H86">
        <v>287892.627</v>
      </c>
    </row>
    <row r="87" spans="1:8">
      <c r="A87">
        <v>2022</v>
      </c>
      <c r="B87">
        <v>2</v>
      </c>
      <c r="C87" t="s">
        <v>51</v>
      </c>
      <c r="D87">
        <v>1179677.08</v>
      </c>
      <c r="E87">
        <v>1179677.08</v>
      </c>
      <c r="F87">
        <v>3800</v>
      </c>
      <c r="G87">
        <v>3</v>
      </c>
      <c r="H87">
        <v>1179677.08</v>
      </c>
    </row>
    <row r="88" spans="1:8">
      <c r="A88">
        <v>2022</v>
      </c>
      <c r="B88">
        <v>3</v>
      </c>
      <c r="C88" t="s">
        <v>51</v>
      </c>
      <c r="D88">
        <v>754683.06</v>
      </c>
      <c r="E88">
        <v>754683.06</v>
      </c>
      <c r="F88">
        <v>3800</v>
      </c>
      <c r="G88">
        <v>3</v>
      </c>
      <c r="H88">
        <v>754683.06</v>
      </c>
    </row>
    <row r="89" spans="1:8">
      <c r="A89">
        <v>2022</v>
      </c>
      <c r="B89">
        <v>4</v>
      </c>
      <c r="C89" t="s">
        <v>51</v>
      </c>
      <c r="D89">
        <v>1097646.77</v>
      </c>
      <c r="E89">
        <v>1097646.77</v>
      </c>
      <c r="F89">
        <v>3800</v>
      </c>
      <c r="G89">
        <v>3</v>
      </c>
      <c r="H89">
        <v>1097646.77</v>
      </c>
    </row>
    <row r="90" spans="1:8">
      <c r="A90">
        <v>2022</v>
      </c>
      <c r="B90">
        <v>5</v>
      </c>
      <c r="C90" t="s">
        <v>51</v>
      </c>
      <c r="D90">
        <v>5306.32</v>
      </c>
      <c r="E90">
        <v>5306.32</v>
      </c>
      <c r="F90">
        <v>3800</v>
      </c>
      <c r="G90">
        <v>3</v>
      </c>
      <c r="H90">
        <v>5306.32</v>
      </c>
    </row>
    <row r="91" spans="1:8">
      <c r="A91">
        <v>2022</v>
      </c>
      <c r="B91">
        <v>6</v>
      </c>
      <c r="C91" t="s">
        <v>51</v>
      </c>
      <c r="D91">
        <v>1273316.81</v>
      </c>
      <c r="E91">
        <v>1273316.81</v>
      </c>
      <c r="F91">
        <v>3800</v>
      </c>
      <c r="G91">
        <v>3</v>
      </c>
      <c r="H91">
        <v>1273316.81</v>
      </c>
    </row>
    <row r="92" spans="1:8">
      <c r="A92">
        <v>2022</v>
      </c>
      <c r="B92">
        <v>7</v>
      </c>
      <c r="C92" t="s">
        <v>51</v>
      </c>
      <c r="D92">
        <v>1137849.21</v>
      </c>
      <c r="E92">
        <v>1137849.21</v>
      </c>
      <c r="F92">
        <v>3800</v>
      </c>
      <c r="G92">
        <v>3</v>
      </c>
      <c r="H92">
        <v>1137849.21</v>
      </c>
    </row>
    <row r="93" spans="1:8">
      <c r="A93">
        <v>2022</v>
      </c>
      <c r="B93">
        <v>8</v>
      </c>
      <c r="C93" t="s">
        <v>51</v>
      </c>
      <c r="D93">
        <v>999999.97</v>
      </c>
      <c r="E93">
        <v>999999.97</v>
      </c>
      <c r="F93">
        <v>3800</v>
      </c>
      <c r="G93">
        <v>3</v>
      </c>
      <c r="H93">
        <v>999999.97</v>
      </c>
    </row>
    <row r="94" spans="1:8">
      <c r="A94">
        <v>2022</v>
      </c>
      <c r="B94">
        <v>9</v>
      </c>
      <c r="C94" t="s">
        <v>51</v>
      </c>
      <c r="D94">
        <v>1298485.51</v>
      </c>
      <c r="E94">
        <v>1298485.51</v>
      </c>
      <c r="F94">
        <v>3800</v>
      </c>
      <c r="G94">
        <v>3</v>
      </c>
      <c r="H94">
        <v>1298485.51</v>
      </c>
    </row>
    <row r="95" spans="1:8">
      <c r="A95">
        <v>2022</v>
      </c>
      <c r="B95">
        <v>10</v>
      </c>
      <c r="C95" t="s">
        <v>51</v>
      </c>
      <c r="D95">
        <v>1074898.02</v>
      </c>
      <c r="E95">
        <v>1074898.02</v>
      </c>
      <c r="F95">
        <v>3800</v>
      </c>
      <c r="G95">
        <v>3</v>
      </c>
      <c r="H95">
        <v>1074898.02</v>
      </c>
    </row>
    <row r="96" spans="1:8">
      <c r="A96">
        <v>2022</v>
      </c>
      <c r="B96">
        <v>11</v>
      </c>
      <c r="C96" t="s">
        <v>51</v>
      </c>
      <c r="D96">
        <v>1009524.39</v>
      </c>
      <c r="E96">
        <v>1009524.39</v>
      </c>
      <c r="F96">
        <v>3800</v>
      </c>
      <c r="G96">
        <v>3</v>
      </c>
      <c r="H96">
        <v>1009524.39</v>
      </c>
    </row>
    <row r="97" spans="1:8">
      <c r="A97">
        <v>2022</v>
      </c>
      <c r="B97">
        <v>12</v>
      </c>
      <c r="C97" t="s">
        <v>51</v>
      </c>
      <c r="D97">
        <v>1992562.52</v>
      </c>
      <c r="E97">
        <v>1992562.52</v>
      </c>
      <c r="F97">
        <v>3800</v>
      </c>
      <c r="G97">
        <v>3</v>
      </c>
      <c r="H97">
        <v>1992562.52</v>
      </c>
    </row>
    <row r="98" spans="1:8">
      <c r="A98">
        <v>2022</v>
      </c>
      <c r="B98">
        <v>1</v>
      </c>
      <c r="C98" t="s">
        <v>17</v>
      </c>
      <c r="D98">
        <v>127304.93</v>
      </c>
      <c r="E98">
        <v>127304.93</v>
      </c>
      <c r="F98">
        <v>166</v>
      </c>
      <c r="G98">
        <v>8</v>
      </c>
      <c r="H98">
        <v>1092828.46536145</v>
      </c>
    </row>
    <row r="99" spans="1:8">
      <c r="A99">
        <v>2022</v>
      </c>
      <c r="B99">
        <v>2</v>
      </c>
      <c r="C99" t="s">
        <v>17</v>
      </c>
      <c r="D99">
        <v>162111.54</v>
      </c>
      <c r="E99">
        <v>162111.54</v>
      </c>
      <c r="F99">
        <v>166</v>
      </c>
      <c r="G99">
        <v>8</v>
      </c>
      <c r="H99">
        <v>1391620.14759036</v>
      </c>
    </row>
    <row r="100" spans="1:8">
      <c r="A100">
        <v>2022</v>
      </c>
      <c r="B100">
        <v>3</v>
      </c>
      <c r="C100" t="s">
        <v>17</v>
      </c>
      <c r="D100">
        <v>115922.97</v>
      </c>
      <c r="E100">
        <v>115922.97</v>
      </c>
      <c r="F100">
        <v>166</v>
      </c>
      <c r="G100">
        <v>8</v>
      </c>
      <c r="H100">
        <v>995121.881024096</v>
      </c>
    </row>
    <row r="101" spans="1:8">
      <c r="A101">
        <v>2022</v>
      </c>
      <c r="B101">
        <v>4</v>
      </c>
      <c r="C101" t="s">
        <v>17</v>
      </c>
      <c r="D101">
        <v>15001.96</v>
      </c>
      <c r="E101">
        <v>15001.96</v>
      </c>
      <c r="F101">
        <v>166</v>
      </c>
      <c r="G101">
        <v>8</v>
      </c>
      <c r="H101">
        <v>128781.885542169</v>
      </c>
    </row>
    <row r="102" spans="1:8">
      <c r="A102">
        <v>2022</v>
      </c>
      <c r="B102">
        <v>5</v>
      </c>
      <c r="C102" t="s">
        <v>17</v>
      </c>
      <c r="D102">
        <v>8747</v>
      </c>
      <c r="E102">
        <v>8747</v>
      </c>
      <c r="F102">
        <v>166</v>
      </c>
      <c r="G102">
        <v>8</v>
      </c>
      <c r="H102">
        <v>75087.1987951807</v>
      </c>
    </row>
    <row r="103" spans="1:8">
      <c r="A103">
        <v>2022</v>
      </c>
      <c r="B103">
        <v>6</v>
      </c>
      <c r="C103" t="s">
        <v>17</v>
      </c>
      <c r="D103">
        <v>102623</v>
      </c>
      <c r="E103">
        <v>102623</v>
      </c>
      <c r="F103">
        <v>166</v>
      </c>
      <c r="G103">
        <v>8</v>
      </c>
      <c r="H103">
        <v>880950.451807229</v>
      </c>
    </row>
    <row r="104" spans="1:8">
      <c r="A104">
        <v>2022</v>
      </c>
      <c r="B104">
        <v>7</v>
      </c>
      <c r="C104" t="s">
        <v>17</v>
      </c>
      <c r="D104">
        <v>141328.8</v>
      </c>
      <c r="E104">
        <v>141328.8</v>
      </c>
      <c r="F104">
        <v>166</v>
      </c>
      <c r="G104">
        <v>8</v>
      </c>
      <c r="H104">
        <v>1213214.09638554</v>
      </c>
    </row>
    <row r="105" spans="1:8">
      <c r="A105">
        <v>2022</v>
      </c>
      <c r="B105">
        <v>8</v>
      </c>
      <c r="C105" t="s">
        <v>17</v>
      </c>
      <c r="D105">
        <v>159199.92</v>
      </c>
      <c r="E105">
        <v>161941.33</v>
      </c>
      <c r="F105">
        <v>166</v>
      </c>
      <c r="G105">
        <v>8</v>
      </c>
      <c r="H105">
        <v>1390159.00753012</v>
      </c>
    </row>
    <row r="106" spans="1:8">
      <c r="A106">
        <v>2022</v>
      </c>
      <c r="B106">
        <v>9</v>
      </c>
      <c r="C106" t="s">
        <v>17</v>
      </c>
      <c r="D106">
        <v>119886.05</v>
      </c>
      <c r="E106">
        <v>126184.95</v>
      </c>
      <c r="F106">
        <v>166</v>
      </c>
      <c r="G106">
        <v>8</v>
      </c>
      <c r="H106">
        <v>1083214.17921687</v>
      </c>
    </row>
    <row r="107" spans="1:8">
      <c r="A107">
        <v>2022</v>
      </c>
      <c r="B107">
        <v>10</v>
      </c>
      <c r="C107" t="s">
        <v>17</v>
      </c>
      <c r="D107">
        <v>124064.02</v>
      </c>
      <c r="E107">
        <v>124491.63</v>
      </c>
      <c r="F107">
        <v>166</v>
      </c>
      <c r="G107">
        <v>8</v>
      </c>
      <c r="H107">
        <v>1068678.14909639</v>
      </c>
    </row>
    <row r="108" spans="1:8">
      <c r="A108">
        <v>2022</v>
      </c>
      <c r="B108">
        <v>11</v>
      </c>
      <c r="C108" t="s">
        <v>17</v>
      </c>
      <c r="D108">
        <v>119273.36</v>
      </c>
      <c r="E108">
        <v>123982.26</v>
      </c>
      <c r="F108">
        <v>166</v>
      </c>
      <c r="G108">
        <v>8</v>
      </c>
      <c r="H108">
        <v>1064305.54518072</v>
      </c>
    </row>
    <row r="109" spans="1:8">
      <c r="A109">
        <v>2022</v>
      </c>
      <c r="B109">
        <v>12</v>
      </c>
      <c r="C109" t="s">
        <v>17</v>
      </c>
      <c r="D109">
        <v>46367.2</v>
      </c>
      <c r="E109">
        <v>51687.26</v>
      </c>
      <c r="F109">
        <v>166</v>
      </c>
      <c r="G109">
        <v>8</v>
      </c>
      <c r="H109">
        <v>443700.876506024</v>
      </c>
    </row>
    <row r="110" spans="1:8">
      <c r="A110">
        <v>2022</v>
      </c>
      <c r="B110">
        <v>1</v>
      </c>
      <c r="C110" t="s">
        <v>52</v>
      </c>
      <c r="D110">
        <v>27905</v>
      </c>
      <c r="E110">
        <v>61760.17</v>
      </c>
      <c r="F110">
        <v>104</v>
      </c>
      <c r="G110">
        <v>5</v>
      </c>
      <c r="H110">
        <v>1353972.95769231</v>
      </c>
    </row>
    <row r="111" spans="1:8">
      <c r="A111">
        <v>2022</v>
      </c>
      <c r="B111">
        <v>2</v>
      </c>
      <c r="C111" t="s">
        <v>52</v>
      </c>
      <c r="D111">
        <v>27217</v>
      </c>
      <c r="E111">
        <v>73761.4</v>
      </c>
      <c r="F111">
        <v>104</v>
      </c>
      <c r="G111">
        <v>5</v>
      </c>
      <c r="H111">
        <v>1617076.84615385</v>
      </c>
    </row>
    <row r="112" spans="1:8">
      <c r="A112">
        <v>2022</v>
      </c>
      <c r="B112">
        <v>3</v>
      </c>
      <c r="C112" t="s">
        <v>52</v>
      </c>
      <c r="D112">
        <v>24321.05</v>
      </c>
      <c r="E112">
        <v>70536.09</v>
      </c>
      <c r="F112">
        <v>104</v>
      </c>
      <c r="G112">
        <v>5</v>
      </c>
      <c r="H112">
        <v>1546368.12692308</v>
      </c>
    </row>
    <row r="113" spans="1:8">
      <c r="A113">
        <v>2022</v>
      </c>
      <c r="B113">
        <v>4</v>
      </c>
      <c r="C113" t="s">
        <v>52</v>
      </c>
      <c r="D113">
        <v>33510.39</v>
      </c>
      <c r="E113">
        <v>68158.74</v>
      </c>
      <c r="F113">
        <v>104</v>
      </c>
      <c r="G113">
        <v>5</v>
      </c>
      <c r="H113">
        <v>1494249.3</v>
      </c>
    </row>
    <row r="114" spans="1:8">
      <c r="A114">
        <v>2022</v>
      </c>
      <c r="B114">
        <v>5</v>
      </c>
      <c r="C114" t="s">
        <v>52</v>
      </c>
      <c r="D114">
        <v>22580</v>
      </c>
      <c r="E114">
        <v>57778.35</v>
      </c>
      <c r="F114">
        <v>104</v>
      </c>
      <c r="G114">
        <v>5</v>
      </c>
      <c r="H114">
        <v>1266679.21153846</v>
      </c>
    </row>
    <row r="115" spans="1:8">
      <c r="A115">
        <v>2022</v>
      </c>
      <c r="B115">
        <v>6</v>
      </c>
      <c r="C115" t="s">
        <v>52</v>
      </c>
      <c r="D115">
        <v>34321</v>
      </c>
      <c r="E115">
        <v>71719.35</v>
      </c>
      <c r="F115">
        <v>104</v>
      </c>
      <c r="G115">
        <v>5</v>
      </c>
      <c r="H115">
        <v>1572308.82692308</v>
      </c>
    </row>
    <row r="116" spans="1:8">
      <c r="A116">
        <v>2022</v>
      </c>
      <c r="B116">
        <v>7</v>
      </c>
      <c r="C116" t="s">
        <v>52</v>
      </c>
      <c r="D116">
        <v>41429.1</v>
      </c>
      <c r="E116">
        <v>58747.87</v>
      </c>
      <c r="F116">
        <v>104</v>
      </c>
      <c r="G116">
        <v>5</v>
      </c>
      <c r="H116">
        <v>1287934.07307692</v>
      </c>
    </row>
    <row r="117" spans="1:8">
      <c r="A117">
        <v>2022</v>
      </c>
      <c r="B117">
        <v>8</v>
      </c>
      <c r="C117" t="s">
        <v>52</v>
      </c>
      <c r="D117">
        <v>28858.04</v>
      </c>
      <c r="E117">
        <v>61407.84</v>
      </c>
      <c r="F117">
        <v>104</v>
      </c>
      <c r="G117">
        <v>5</v>
      </c>
      <c r="H117">
        <v>1346248.8</v>
      </c>
    </row>
    <row r="118" spans="1:8">
      <c r="A118">
        <v>2022</v>
      </c>
      <c r="B118">
        <v>9</v>
      </c>
      <c r="C118" t="s">
        <v>52</v>
      </c>
      <c r="D118">
        <v>16784</v>
      </c>
      <c r="E118">
        <v>42529.54</v>
      </c>
      <c r="F118">
        <v>104</v>
      </c>
      <c r="G118">
        <v>5</v>
      </c>
      <c r="H118">
        <v>932378.376923077</v>
      </c>
    </row>
    <row r="119" spans="1:8">
      <c r="A119">
        <v>2022</v>
      </c>
      <c r="B119">
        <v>10</v>
      </c>
      <c r="C119" t="s">
        <v>52</v>
      </c>
      <c r="D119">
        <v>26599</v>
      </c>
      <c r="E119">
        <v>62097.31</v>
      </c>
      <c r="F119">
        <v>104</v>
      </c>
      <c r="G119">
        <v>5</v>
      </c>
      <c r="H119">
        <v>1361364.10384615</v>
      </c>
    </row>
    <row r="120" spans="1:8">
      <c r="A120">
        <v>2022</v>
      </c>
      <c r="B120">
        <v>11</v>
      </c>
      <c r="C120" t="s">
        <v>52</v>
      </c>
      <c r="D120">
        <v>13378</v>
      </c>
      <c r="E120">
        <v>42240.81</v>
      </c>
      <c r="F120">
        <v>104</v>
      </c>
      <c r="G120">
        <v>5</v>
      </c>
      <c r="H120">
        <v>926048.526923077</v>
      </c>
    </row>
    <row r="121" spans="1:8">
      <c r="A121">
        <v>2022</v>
      </c>
      <c r="B121">
        <v>12</v>
      </c>
      <c r="C121" t="s">
        <v>52</v>
      </c>
      <c r="D121">
        <v>15570.99</v>
      </c>
      <c r="E121">
        <v>89784.7</v>
      </c>
      <c r="F121">
        <v>104</v>
      </c>
      <c r="G121">
        <v>5</v>
      </c>
      <c r="H121">
        <v>1968356.88461538</v>
      </c>
    </row>
    <row r="122" spans="1:8">
      <c r="A122">
        <v>2022</v>
      </c>
      <c r="B122">
        <v>1</v>
      </c>
      <c r="C122" t="s">
        <v>53</v>
      </c>
      <c r="D122">
        <v>8241</v>
      </c>
      <c r="E122">
        <v>9341</v>
      </c>
      <c r="F122">
        <v>53</v>
      </c>
      <c r="G122">
        <v>5</v>
      </c>
      <c r="H122">
        <v>401839.245283019</v>
      </c>
    </row>
    <row r="123" spans="1:8">
      <c r="A123">
        <v>2022</v>
      </c>
      <c r="B123">
        <v>2</v>
      </c>
      <c r="C123" t="s">
        <v>53</v>
      </c>
      <c r="D123">
        <v>8180</v>
      </c>
      <c r="E123">
        <v>9280</v>
      </c>
      <c r="F123">
        <v>53</v>
      </c>
      <c r="G123">
        <v>5</v>
      </c>
      <c r="H123">
        <v>399215.094339623</v>
      </c>
    </row>
    <row r="124" spans="1:8">
      <c r="A124">
        <v>2022</v>
      </c>
      <c r="B124">
        <v>3</v>
      </c>
      <c r="C124" t="s">
        <v>53</v>
      </c>
      <c r="D124">
        <v>7418</v>
      </c>
      <c r="E124">
        <v>8518</v>
      </c>
      <c r="F124">
        <v>53</v>
      </c>
      <c r="G124">
        <v>5</v>
      </c>
      <c r="H124">
        <v>366434.716981132</v>
      </c>
    </row>
    <row r="125" spans="1:8">
      <c r="A125">
        <v>2022</v>
      </c>
      <c r="B125">
        <v>4</v>
      </c>
      <c r="C125" t="s">
        <v>53</v>
      </c>
      <c r="D125">
        <v>25756</v>
      </c>
      <c r="E125">
        <v>29056</v>
      </c>
      <c r="F125">
        <v>53</v>
      </c>
      <c r="G125">
        <v>5</v>
      </c>
      <c r="H125">
        <v>1249956.22641509</v>
      </c>
    </row>
    <row r="126" spans="1:8">
      <c r="A126">
        <v>2022</v>
      </c>
      <c r="B126">
        <v>5</v>
      </c>
      <c r="C126" t="s">
        <v>53</v>
      </c>
      <c r="D126">
        <v>13210</v>
      </c>
      <c r="E126">
        <v>14860</v>
      </c>
      <c r="F126">
        <v>53</v>
      </c>
      <c r="G126">
        <v>5</v>
      </c>
      <c r="H126">
        <v>639260.377358491</v>
      </c>
    </row>
    <row r="127" spans="1:8">
      <c r="A127">
        <v>2022</v>
      </c>
      <c r="B127">
        <v>6</v>
      </c>
      <c r="C127" t="s">
        <v>53</v>
      </c>
      <c r="D127">
        <v>12270</v>
      </c>
      <c r="E127">
        <v>13920</v>
      </c>
      <c r="F127">
        <v>53</v>
      </c>
      <c r="G127">
        <v>5</v>
      </c>
      <c r="H127">
        <v>598822.641509434</v>
      </c>
    </row>
    <row r="128" spans="1:8">
      <c r="A128">
        <v>2022</v>
      </c>
      <c r="B128">
        <v>7</v>
      </c>
      <c r="C128" t="s">
        <v>53</v>
      </c>
      <c r="D128">
        <v>11235</v>
      </c>
      <c r="E128">
        <v>12264.03</v>
      </c>
      <c r="F128">
        <v>53</v>
      </c>
      <c r="G128">
        <v>5</v>
      </c>
      <c r="H128">
        <v>527584.686792453</v>
      </c>
    </row>
    <row r="129" spans="1:8">
      <c r="A129">
        <v>2022</v>
      </c>
      <c r="B129">
        <v>8</v>
      </c>
      <c r="C129" t="s">
        <v>53</v>
      </c>
      <c r="D129">
        <v>13670</v>
      </c>
      <c r="E129">
        <v>15650.01</v>
      </c>
      <c r="F129">
        <v>53</v>
      </c>
      <c r="G129">
        <v>5</v>
      </c>
      <c r="H129">
        <v>673245.713207547</v>
      </c>
    </row>
    <row r="130" spans="1:8">
      <c r="A130">
        <v>2022</v>
      </c>
      <c r="B130">
        <v>9</v>
      </c>
      <c r="C130" t="s">
        <v>53</v>
      </c>
      <c r="D130">
        <v>7240</v>
      </c>
      <c r="E130">
        <v>8759.29</v>
      </c>
      <c r="F130">
        <v>53</v>
      </c>
      <c r="G130">
        <v>5</v>
      </c>
      <c r="H130">
        <v>376814.739622642</v>
      </c>
    </row>
    <row r="131" spans="1:8">
      <c r="A131">
        <v>2022</v>
      </c>
      <c r="B131">
        <v>10</v>
      </c>
      <c r="C131" t="s">
        <v>53</v>
      </c>
      <c r="D131">
        <v>5510</v>
      </c>
      <c r="E131">
        <v>6940</v>
      </c>
      <c r="F131">
        <v>53</v>
      </c>
      <c r="G131">
        <v>5</v>
      </c>
      <c r="H131">
        <v>298550.943396226</v>
      </c>
    </row>
    <row r="132" spans="1:8">
      <c r="A132">
        <v>2022</v>
      </c>
      <c r="B132">
        <v>11</v>
      </c>
      <c r="C132" t="s">
        <v>53</v>
      </c>
      <c r="D132">
        <v>5675</v>
      </c>
      <c r="E132">
        <v>6206.67</v>
      </c>
      <c r="F132">
        <v>53</v>
      </c>
      <c r="G132">
        <v>5</v>
      </c>
      <c r="H132">
        <v>267003.916981132</v>
      </c>
    </row>
    <row r="133" spans="1:8">
      <c r="A133">
        <v>2022</v>
      </c>
      <c r="B133">
        <v>12</v>
      </c>
      <c r="C133" t="s">
        <v>53</v>
      </c>
      <c r="D133">
        <v>4550</v>
      </c>
      <c r="E133">
        <v>4961.61</v>
      </c>
      <c r="F133">
        <v>53</v>
      </c>
      <c r="G133">
        <v>5</v>
      </c>
      <c r="H133">
        <v>213442.845283019</v>
      </c>
    </row>
    <row r="134" spans="1:8">
      <c r="A134">
        <v>2022</v>
      </c>
      <c r="B134">
        <v>1</v>
      </c>
      <c r="C134" t="s">
        <v>20</v>
      </c>
      <c r="E134">
        <v>27011.95</v>
      </c>
      <c r="F134">
        <v>190</v>
      </c>
      <c r="G134">
        <v>5</v>
      </c>
      <c r="H134">
        <v>324143.4</v>
      </c>
    </row>
    <row r="135" spans="1:8">
      <c r="A135">
        <v>2022</v>
      </c>
      <c r="B135">
        <v>2</v>
      </c>
      <c r="C135" t="s">
        <v>20</v>
      </c>
      <c r="E135">
        <v>47269.67</v>
      </c>
      <c r="F135">
        <v>190</v>
      </c>
      <c r="G135">
        <v>5</v>
      </c>
      <c r="H135">
        <v>567236.04</v>
      </c>
    </row>
    <row r="136" spans="1:8">
      <c r="A136">
        <v>2022</v>
      </c>
      <c r="B136">
        <v>3</v>
      </c>
      <c r="C136" t="s">
        <v>20</v>
      </c>
      <c r="E136">
        <v>38726.24</v>
      </c>
      <c r="F136">
        <v>190</v>
      </c>
      <c r="G136">
        <v>5</v>
      </c>
      <c r="H136">
        <v>464714.88</v>
      </c>
    </row>
    <row r="137" spans="1:8">
      <c r="A137">
        <v>2022</v>
      </c>
      <c r="B137">
        <v>4</v>
      </c>
      <c r="C137" t="s">
        <v>20</v>
      </c>
      <c r="E137">
        <v>27981.1</v>
      </c>
      <c r="F137">
        <v>190</v>
      </c>
      <c r="G137">
        <v>5</v>
      </c>
      <c r="H137">
        <v>335773.2</v>
      </c>
    </row>
    <row r="138" spans="1:8">
      <c r="A138">
        <v>2022</v>
      </c>
      <c r="B138">
        <v>5</v>
      </c>
      <c r="C138" t="s">
        <v>20</v>
      </c>
      <c r="E138">
        <v>35965.93</v>
      </c>
      <c r="F138">
        <v>190</v>
      </c>
      <c r="G138">
        <v>5</v>
      </c>
      <c r="H138">
        <v>431591.16</v>
      </c>
    </row>
    <row r="139" spans="1:8">
      <c r="A139">
        <v>2022</v>
      </c>
      <c r="B139">
        <v>6</v>
      </c>
      <c r="C139" t="s">
        <v>20</v>
      </c>
      <c r="E139">
        <v>36396</v>
      </c>
      <c r="F139">
        <v>190</v>
      </c>
      <c r="G139">
        <v>5</v>
      </c>
      <c r="H139">
        <v>436752</v>
      </c>
    </row>
    <row r="140" spans="1:8">
      <c r="A140">
        <v>2022</v>
      </c>
      <c r="B140">
        <v>7</v>
      </c>
      <c r="C140" t="s">
        <v>20</v>
      </c>
      <c r="E140">
        <v>31808.49</v>
      </c>
      <c r="F140">
        <v>190</v>
      </c>
      <c r="G140">
        <v>5</v>
      </c>
      <c r="H140">
        <v>381701.88</v>
      </c>
    </row>
    <row r="141" spans="1:8">
      <c r="A141">
        <v>2022</v>
      </c>
      <c r="B141">
        <v>8</v>
      </c>
      <c r="C141" t="s">
        <v>20</v>
      </c>
      <c r="E141">
        <v>30712.7</v>
      </c>
      <c r="F141">
        <v>190</v>
      </c>
      <c r="G141">
        <v>5</v>
      </c>
      <c r="H141">
        <v>368552.4</v>
      </c>
    </row>
    <row r="142" spans="1:8">
      <c r="A142">
        <v>2022</v>
      </c>
      <c r="B142">
        <v>9</v>
      </c>
      <c r="C142" t="s">
        <v>20</v>
      </c>
      <c r="E142">
        <v>33409.86</v>
      </c>
      <c r="F142">
        <v>190</v>
      </c>
      <c r="G142">
        <v>5</v>
      </c>
      <c r="H142">
        <v>400918.32</v>
      </c>
    </row>
    <row r="143" spans="1:8">
      <c r="A143">
        <v>2022</v>
      </c>
      <c r="B143">
        <v>10</v>
      </c>
      <c r="C143" t="s">
        <v>20</v>
      </c>
      <c r="E143">
        <v>33987.74</v>
      </c>
      <c r="F143">
        <v>190</v>
      </c>
      <c r="G143">
        <v>5</v>
      </c>
      <c r="H143">
        <v>407852.88</v>
      </c>
    </row>
    <row r="144" spans="1:8">
      <c r="A144">
        <v>2022</v>
      </c>
      <c r="B144">
        <v>11</v>
      </c>
      <c r="C144" t="s">
        <v>20</v>
      </c>
      <c r="E144">
        <v>42640.43</v>
      </c>
      <c r="F144">
        <v>190</v>
      </c>
      <c r="G144">
        <v>5</v>
      </c>
      <c r="H144">
        <v>511685.16</v>
      </c>
    </row>
    <row r="145" spans="1:8">
      <c r="A145">
        <v>2022</v>
      </c>
      <c r="B145">
        <v>12</v>
      </c>
      <c r="C145" t="s">
        <v>20</v>
      </c>
      <c r="E145">
        <v>46433.93</v>
      </c>
      <c r="F145">
        <v>190</v>
      </c>
      <c r="G145">
        <v>5</v>
      </c>
      <c r="H145">
        <v>557207.16</v>
      </c>
    </row>
  </sheetData>
  <pageMargins left="0.7" right="0.7" top="0.75" bottom="0.75" header="0.3" footer="0.3"/>
  <headerFooter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" defaultRowHeight="14.25" outlineLevelRow="1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1</v>
      </c>
      <c r="C2" t="s">
        <v>12</v>
      </c>
      <c r="D2">
        <v>52845</v>
      </c>
      <c r="E2">
        <v>72345</v>
      </c>
      <c r="F2">
        <v>111</v>
      </c>
      <c r="G2">
        <v>5</v>
      </c>
      <c r="H2">
        <v>1486005.40540541</v>
      </c>
    </row>
  </sheetData>
  <pageMargins left="0.7" right="0.7" top="0.75" bottom="0.75" header="0.3" footer="0.3"/>
  <headerFooter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" defaultRowHeight="14.25" outlineLevelRow="1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1</v>
      </c>
      <c r="C2" t="s">
        <v>12</v>
      </c>
      <c r="D2">
        <v>52845</v>
      </c>
      <c r="E2">
        <v>72345</v>
      </c>
      <c r="F2">
        <v>111</v>
      </c>
      <c r="G2">
        <v>5</v>
      </c>
      <c r="H2">
        <v>1486005.40540541</v>
      </c>
    </row>
  </sheetData>
  <pageMargins left="0.7" right="0.7" top="0.75" bottom="0.75" header="0.3" footer="0.3"/>
  <headerFooter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" defaultRowHeight="14.25" outlineLevelRow="1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1</v>
      </c>
      <c r="C2" t="s">
        <v>12</v>
      </c>
      <c r="D2">
        <v>52845</v>
      </c>
      <c r="E2">
        <v>72345</v>
      </c>
      <c r="F2">
        <v>111</v>
      </c>
      <c r="G2">
        <v>5</v>
      </c>
      <c r="H2">
        <v>1486005.40540541</v>
      </c>
    </row>
  </sheetData>
  <pageMargins left="0.7" right="0.7" top="0.75" bottom="0.75" header="0.3" footer="0.3"/>
  <headerFooter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A1:H13"/>
    </sheetView>
  </sheetViews>
  <sheetFormatPr defaultColWidth="9" defaultRowHeight="14.25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12</v>
      </c>
      <c r="C2" t="s">
        <v>16</v>
      </c>
      <c r="E2">
        <v>116184</v>
      </c>
      <c r="F2">
        <v>1120</v>
      </c>
      <c r="G2">
        <v>3</v>
      </c>
      <c r="H2">
        <v>3941.95714285714</v>
      </c>
    </row>
    <row r="3" spans="1:8">
      <c r="A3">
        <v>2022</v>
      </c>
      <c r="B3">
        <v>11</v>
      </c>
      <c r="C3" t="s">
        <v>16</v>
      </c>
      <c r="E3">
        <v>181774</v>
      </c>
      <c r="F3">
        <v>1120</v>
      </c>
      <c r="G3">
        <v>3</v>
      </c>
      <c r="H3">
        <v>6167.33214285714</v>
      </c>
    </row>
    <row r="4" spans="1:8">
      <c r="A4">
        <v>2022</v>
      </c>
      <c r="B4">
        <v>10</v>
      </c>
      <c r="C4" t="s">
        <v>16</v>
      </c>
      <c r="E4">
        <v>199461</v>
      </c>
      <c r="F4">
        <v>1120</v>
      </c>
      <c r="G4">
        <v>3</v>
      </c>
      <c r="H4">
        <v>6767.42678571429</v>
      </c>
    </row>
    <row r="5" spans="1:8">
      <c r="A5">
        <v>2022</v>
      </c>
      <c r="B5">
        <v>9</v>
      </c>
      <c r="C5" t="s">
        <v>16</v>
      </c>
      <c r="E5">
        <v>191597</v>
      </c>
      <c r="F5">
        <v>1120</v>
      </c>
      <c r="G5">
        <v>3</v>
      </c>
      <c r="H5">
        <v>6500.6125</v>
      </c>
    </row>
    <row r="6" spans="1:8">
      <c r="A6">
        <v>2022</v>
      </c>
      <c r="B6">
        <v>8</v>
      </c>
      <c r="C6" t="s">
        <v>16</v>
      </c>
      <c r="E6">
        <v>209742</v>
      </c>
      <c r="F6">
        <v>1120</v>
      </c>
      <c r="G6">
        <v>3</v>
      </c>
      <c r="H6">
        <v>7116.24642857143</v>
      </c>
    </row>
    <row r="7" spans="1:8">
      <c r="A7">
        <v>2022</v>
      </c>
      <c r="B7">
        <v>7</v>
      </c>
      <c r="C7" t="s">
        <v>16</v>
      </c>
      <c r="E7">
        <v>210065</v>
      </c>
      <c r="F7">
        <v>1120</v>
      </c>
      <c r="G7">
        <v>3</v>
      </c>
      <c r="H7">
        <v>7127.20535714286</v>
      </c>
    </row>
    <row r="8" spans="1:8">
      <c r="A8">
        <v>2022</v>
      </c>
      <c r="B8">
        <v>6</v>
      </c>
      <c r="C8" t="s">
        <v>16</v>
      </c>
      <c r="E8">
        <v>193294</v>
      </c>
      <c r="F8">
        <v>1120</v>
      </c>
      <c r="G8">
        <v>3</v>
      </c>
      <c r="H8">
        <v>6558.18928571429</v>
      </c>
    </row>
    <row r="9" spans="1:8">
      <c r="A9">
        <v>2022</v>
      </c>
      <c r="B9">
        <v>5</v>
      </c>
      <c r="C9" t="s">
        <v>16</v>
      </c>
      <c r="E9">
        <v>213595</v>
      </c>
      <c r="F9">
        <v>1120</v>
      </c>
      <c r="G9">
        <v>3</v>
      </c>
      <c r="H9">
        <v>7246.97321428571</v>
      </c>
    </row>
    <row r="10" spans="1:8">
      <c r="A10">
        <v>2022</v>
      </c>
      <c r="B10">
        <v>4</v>
      </c>
      <c r="C10" t="s">
        <v>16</v>
      </c>
      <c r="E10">
        <v>164290</v>
      </c>
      <c r="F10">
        <v>1120</v>
      </c>
      <c r="G10">
        <v>3</v>
      </c>
      <c r="H10">
        <v>5574.125</v>
      </c>
    </row>
    <row r="11" spans="1:8">
      <c r="A11">
        <v>2022</v>
      </c>
      <c r="B11">
        <v>3</v>
      </c>
      <c r="C11" t="s">
        <v>16</v>
      </c>
      <c r="E11">
        <v>168580</v>
      </c>
      <c r="F11">
        <v>1120</v>
      </c>
      <c r="G11">
        <v>3</v>
      </c>
      <c r="H11">
        <v>5719.67857142857</v>
      </c>
    </row>
    <row r="12" spans="1:8">
      <c r="A12">
        <v>2022</v>
      </c>
      <c r="B12">
        <v>2</v>
      </c>
      <c r="C12" t="s">
        <v>16</v>
      </c>
      <c r="E12">
        <v>145815</v>
      </c>
      <c r="F12">
        <v>1120</v>
      </c>
      <c r="G12">
        <v>3</v>
      </c>
      <c r="H12">
        <v>4947.29464285714</v>
      </c>
    </row>
    <row r="13" spans="1:8">
      <c r="A13">
        <v>2022</v>
      </c>
      <c r="B13">
        <v>1</v>
      </c>
      <c r="C13" t="s">
        <v>16</v>
      </c>
      <c r="E13">
        <v>256954</v>
      </c>
      <c r="F13">
        <v>1120</v>
      </c>
      <c r="G13">
        <v>3</v>
      </c>
      <c r="H13">
        <v>8718.08214285714</v>
      </c>
    </row>
  </sheetData>
  <pageMargins left="0.7" right="0.7" top="0.75" bottom="0.75" header="0.3" footer="0.3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" defaultRowHeight="14.25" outlineLevelRow="1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6</v>
      </c>
      <c r="C2" t="s">
        <v>8</v>
      </c>
      <c r="D2">
        <v>130324</v>
      </c>
      <c r="E2">
        <v>257524</v>
      </c>
      <c r="F2">
        <v>181</v>
      </c>
      <c r="G2">
        <v>4</v>
      </c>
      <c r="H2">
        <v>40549.3591160221</v>
      </c>
    </row>
  </sheetData>
  <pageMargins left="0.7" right="0.7" top="0.75" bottom="0.75" header="0.3" footer="0.3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" defaultRowHeight="14.25" outlineLevelRow="1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1</v>
      </c>
      <c r="C2" t="s">
        <v>17</v>
      </c>
      <c r="D2">
        <v>127304.93</v>
      </c>
      <c r="E2">
        <v>127304.93</v>
      </c>
      <c r="F2">
        <v>166</v>
      </c>
      <c r="G2">
        <v>8</v>
      </c>
      <c r="H2">
        <v>10928.2846536145</v>
      </c>
    </row>
  </sheetData>
  <pageMargins left="0.7" right="0.7" top="0.75" bottom="0.75" header="0.3" footer="0.3"/>
  <headerFooter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A1:H13"/>
    </sheetView>
  </sheetViews>
  <sheetFormatPr defaultColWidth="9" defaultRowHeight="14.25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1</v>
      </c>
      <c r="C2" t="s">
        <v>17</v>
      </c>
      <c r="D2">
        <v>127304.93</v>
      </c>
      <c r="E2">
        <v>127304.93</v>
      </c>
      <c r="F2">
        <v>166</v>
      </c>
      <c r="G2">
        <v>8</v>
      </c>
      <c r="H2">
        <v>10928.2846536145</v>
      </c>
    </row>
    <row r="3" spans="1:8">
      <c r="A3">
        <v>2022</v>
      </c>
      <c r="B3">
        <v>2</v>
      </c>
      <c r="C3" t="s">
        <v>17</v>
      </c>
      <c r="D3">
        <v>162111.54</v>
      </c>
      <c r="E3">
        <v>162111.54</v>
      </c>
      <c r="F3">
        <v>166</v>
      </c>
      <c r="G3">
        <v>8</v>
      </c>
      <c r="H3">
        <v>13916.2014759036</v>
      </c>
    </row>
    <row r="4" spans="1:8">
      <c r="A4">
        <v>2022</v>
      </c>
      <c r="B4">
        <v>3</v>
      </c>
      <c r="C4" t="s">
        <v>17</v>
      </c>
      <c r="D4">
        <v>115922.97</v>
      </c>
      <c r="E4">
        <v>115922.97</v>
      </c>
      <c r="F4">
        <v>166</v>
      </c>
      <c r="G4">
        <v>8</v>
      </c>
      <c r="H4">
        <v>9951.21881024096</v>
      </c>
    </row>
    <row r="5" spans="1:8">
      <c r="A5">
        <v>2022</v>
      </c>
      <c r="B5">
        <v>4</v>
      </c>
      <c r="C5" t="s">
        <v>17</v>
      </c>
      <c r="D5">
        <v>15001.96</v>
      </c>
      <c r="E5">
        <v>15001.96</v>
      </c>
      <c r="F5">
        <v>166</v>
      </c>
      <c r="G5">
        <v>8</v>
      </c>
      <c r="H5">
        <v>1287.81885542169</v>
      </c>
    </row>
    <row r="6" spans="1:8">
      <c r="A6">
        <v>2022</v>
      </c>
      <c r="B6">
        <v>5</v>
      </c>
      <c r="C6" t="s">
        <v>17</v>
      </c>
      <c r="D6">
        <v>8747</v>
      </c>
      <c r="E6">
        <v>8747</v>
      </c>
      <c r="F6">
        <v>166</v>
      </c>
      <c r="G6">
        <v>8</v>
      </c>
      <c r="H6">
        <v>750.871987951807</v>
      </c>
    </row>
    <row r="7" spans="1:8">
      <c r="A7">
        <v>2022</v>
      </c>
      <c r="B7">
        <v>6</v>
      </c>
      <c r="C7" t="s">
        <v>17</v>
      </c>
      <c r="D7">
        <v>102623</v>
      </c>
      <c r="E7">
        <v>102623</v>
      </c>
      <c r="F7">
        <v>166</v>
      </c>
      <c r="G7">
        <v>8</v>
      </c>
      <c r="H7">
        <v>8809.50451807229</v>
      </c>
    </row>
    <row r="8" spans="1:8">
      <c r="A8">
        <v>2022</v>
      </c>
      <c r="B8">
        <v>7</v>
      </c>
      <c r="C8" t="s">
        <v>17</v>
      </c>
      <c r="D8">
        <v>141328.8</v>
      </c>
      <c r="E8">
        <v>141328.8</v>
      </c>
      <c r="F8">
        <v>166</v>
      </c>
      <c r="G8">
        <v>8</v>
      </c>
      <c r="H8">
        <v>12132.1409638554</v>
      </c>
    </row>
    <row r="9" spans="1:8">
      <c r="A9">
        <v>2022</v>
      </c>
      <c r="B9">
        <v>8</v>
      </c>
      <c r="C9" t="s">
        <v>17</v>
      </c>
      <c r="D9">
        <v>159199.92</v>
      </c>
      <c r="E9">
        <v>161941.33</v>
      </c>
      <c r="F9">
        <v>166</v>
      </c>
      <c r="G9">
        <v>8</v>
      </c>
      <c r="H9">
        <v>13901.5900753012</v>
      </c>
    </row>
    <row r="10" spans="1:8">
      <c r="A10">
        <v>2022</v>
      </c>
      <c r="B10">
        <v>9</v>
      </c>
      <c r="C10" t="s">
        <v>17</v>
      </c>
      <c r="D10">
        <v>119886.05</v>
      </c>
      <c r="E10">
        <v>126184.95</v>
      </c>
      <c r="F10">
        <v>166</v>
      </c>
      <c r="G10">
        <v>8</v>
      </c>
      <c r="H10">
        <v>10832.1417921687</v>
      </c>
    </row>
    <row r="11" spans="1:8">
      <c r="A11">
        <v>2022</v>
      </c>
      <c r="B11">
        <v>10</v>
      </c>
      <c r="C11" t="s">
        <v>17</v>
      </c>
      <c r="D11">
        <v>124064.02</v>
      </c>
      <c r="E11">
        <v>124491.63</v>
      </c>
      <c r="F11">
        <v>166</v>
      </c>
      <c r="G11">
        <v>8</v>
      </c>
      <c r="H11">
        <v>10686.7814909639</v>
      </c>
    </row>
    <row r="12" spans="1:8">
      <c r="A12">
        <v>2022</v>
      </c>
      <c r="B12">
        <v>11</v>
      </c>
      <c r="C12" t="s">
        <v>17</v>
      </c>
      <c r="D12">
        <v>119273.36</v>
      </c>
      <c r="E12">
        <v>123982.26</v>
      </c>
      <c r="F12">
        <v>166</v>
      </c>
      <c r="G12">
        <v>8</v>
      </c>
      <c r="H12">
        <v>10643.0554518072</v>
      </c>
    </row>
    <row r="13" spans="1:8">
      <c r="A13">
        <v>2022</v>
      </c>
      <c r="B13">
        <v>12</v>
      </c>
      <c r="C13" t="s">
        <v>17</v>
      </c>
      <c r="D13">
        <v>46367.2</v>
      </c>
      <c r="E13">
        <v>51687.26</v>
      </c>
      <c r="F13">
        <v>166</v>
      </c>
      <c r="G13">
        <v>8</v>
      </c>
      <c r="H13">
        <v>4437.00876506024</v>
      </c>
    </row>
  </sheetData>
  <pageMargins left="0.7" right="0.7" top="0.75" bottom="0.75" header="0.3" footer="0.3"/>
  <headerFooter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" defaultRowHeight="14.25" outlineLevelRow="1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1</v>
      </c>
      <c r="C2" t="s">
        <v>12</v>
      </c>
      <c r="D2">
        <v>52845</v>
      </c>
      <c r="E2">
        <v>72345</v>
      </c>
      <c r="F2">
        <v>111</v>
      </c>
      <c r="G2">
        <v>5</v>
      </c>
      <c r="H2">
        <v>14860.0540540541</v>
      </c>
    </row>
  </sheetData>
  <pageMargins left="0.7" right="0.7" top="0.75" bottom="0.75" header="0.3" footer="0.3"/>
  <headerFooter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" defaultRowHeight="14.25" outlineLevelRow="1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5</v>
      </c>
      <c r="C2" t="s">
        <v>12</v>
      </c>
      <c r="D2">
        <v>80540</v>
      </c>
      <c r="E2">
        <v>101540</v>
      </c>
      <c r="F2">
        <v>111</v>
      </c>
      <c r="G2">
        <v>5</v>
      </c>
      <c r="H2">
        <v>20856.8648648649</v>
      </c>
    </row>
  </sheetData>
  <pageMargins left="0.7" right="0.7" top="0.75" bottom="0.75" header="0.3" footer="0.3"/>
  <headerFooter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" defaultRowHeight="14.25" outlineLevelRow="1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1</v>
      </c>
      <c r="C2" t="s">
        <v>8</v>
      </c>
      <c r="D2">
        <v>115976</v>
      </c>
      <c r="E2">
        <v>343526</v>
      </c>
      <c r="F2">
        <v>181</v>
      </c>
      <c r="G2">
        <v>4</v>
      </c>
      <c r="H2">
        <v>54091.1104972376</v>
      </c>
    </row>
  </sheetData>
  <pageMargins left="0.7" right="0.7" top="0.75" bottom="0.75" header="0.3" footer="0.3"/>
  <headerFooter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" defaultRowHeight="14.25" outlineLevelRow="1" outlineLevelCol="7"/>
  <cols>
    <col min="4" max="4" width="10.25" customWidth="1"/>
    <col min="7" max="8" width="10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3</v>
      </c>
      <c r="C2" t="s">
        <v>8</v>
      </c>
      <c r="D2">
        <v>120392</v>
      </c>
      <c r="E2">
        <v>380016</v>
      </c>
      <c r="F2">
        <v>181</v>
      </c>
      <c r="G2">
        <v>4</v>
      </c>
      <c r="H2">
        <v>59836.773480663</v>
      </c>
    </row>
  </sheetData>
  <pageMargins left="0.7" right="0.7" top="0.75" bottom="0.75" header="0.3" footer="0.3"/>
  <headerFooter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" defaultRowHeight="14.25" outlineLevelRow="1" outlineLevelCol="7"/>
  <cols>
    <col min="3" max="3" width="19.125" customWidth="1"/>
    <col min="4" max="4" width="10.25" customWidth="1"/>
    <col min="7" max="7" width="14.25" customWidth="1"/>
    <col min="8" max="8" width="22.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>
      <c r="A2">
        <v>2022</v>
      </c>
      <c r="B2">
        <v>11</v>
      </c>
      <c r="C2" t="s">
        <v>8</v>
      </c>
      <c r="D2">
        <v>112848</v>
      </c>
      <c r="E2">
        <v>285404.14</v>
      </c>
      <c r="F2">
        <v>181</v>
      </c>
      <c r="G2">
        <v>4</v>
      </c>
      <c r="H2">
        <v>44939.3259116022</v>
      </c>
    </row>
  </sheetData>
  <pageMargins left="0.7" right="0.7" top="0.75" bottom="0.75" header="0.3" footer="0.3"/>
  <headerFooter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38"/>
  <sheetViews>
    <sheetView topLeftCell="A7" workbookViewId="0">
      <selection activeCell="B10" sqref="B10"/>
    </sheetView>
  </sheetViews>
  <sheetFormatPr defaultColWidth="9" defaultRowHeight="14.25" outlineLevelCol="6"/>
  <cols>
    <col min="1" max="1" width="9.125" customWidth="1"/>
    <col min="2" max="2" width="24" customWidth="1"/>
    <col min="3" max="3" width="9.875" customWidth="1"/>
    <col min="4" max="4" width="9.125" customWidth="1"/>
    <col min="5" max="5" width="22.625" customWidth="1"/>
    <col min="7" max="7" width="24" customWidth="1"/>
    <col min="8" max="8" width="11.625" customWidth="1"/>
    <col min="9" max="9" width="15.625" customWidth="1"/>
    <col min="10" max="10" width="13.625" customWidth="1"/>
  </cols>
  <sheetData>
    <row r="3" ht="16.5" customHeight="1" spans="1:7">
      <c r="A3" t="s">
        <v>54</v>
      </c>
      <c r="B3" t="s">
        <v>55</v>
      </c>
      <c r="C3" s="24" t="s">
        <v>56</v>
      </c>
      <c r="G3" t="s">
        <v>55</v>
      </c>
    </row>
    <row r="4" spans="1:7">
      <c r="A4" s="25">
        <v>1</v>
      </c>
      <c r="B4" s="26">
        <v>201856.235294118</v>
      </c>
      <c r="C4" s="27"/>
      <c r="G4" s="26">
        <v>4004791.70094118</v>
      </c>
    </row>
    <row r="5" spans="1:7">
      <c r="A5" s="25">
        <v>2</v>
      </c>
      <c r="B5" s="26">
        <v>340968.941176471</v>
      </c>
      <c r="C5" s="27"/>
    </row>
    <row r="6" spans="1:7">
      <c r="A6" s="25">
        <v>3</v>
      </c>
      <c r="B6" s="26">
        <v>302714.117647059</v>
      </c>
      <c r="C6" s="27"/>
    </row>
    <row r="7" spans="1:7">
      <c r="A7" s="25">
        <v>4</v>
      </c>
      <c r="B7" s="26">
        <v>327380.752941176</v>
      </c>
      <c r="C7" s="27"/>
    </row>
    <row r="8" spans="1:7">
      <c r="A8" s="25">
        <v>5</v>
      </c>
      <c r="B8" s="26">
        <v>330171.435294118</v>
      </c>
      <c r="C8" s="27"/>
    </row>
    <row r="9" spans="1:7">
      <c r="A9" s="25">
        <v>6</v>
      </c>
      <c r="B9" s="26">
        <v>439495.011764706</v>
      </c>
      <c r="C9" s="27"/>
    </row>
    <row r="10" spans="1:7">
      <c r="A10" s="25">
        <v>7</v>
      </c>
      <c r="B10" s="26">
        <v>317345.346823529</v>
      </c>
      <c r="C10" s="27"/>
    </row>
    <row r="11" spans="1:7">
      <c r="A11" s="25">
        <v>8</v>
      </c>
      <c r="B11" s="26">
        <v>385148.205411765</v>
      </c>
      <c r="C11" s="27"/>
    </row>
    <row r="12" spans="1:7">
      <c r="A12" s="25">
        <v>9</v>
      </c>
      <c r="B12" s="26">
        <v>348015.142541176</v>
      </c>
      <c r="C12" s="27"/>
    </row>
    <row r="13" spans="1:7">
      <c r="A13" s="25">
        <v>10</v>
      </c>
      <c r="B13" s="26">
        <v>351657.217129412</v>
      </c>
      <c r="C13" s="27"/>
    </row>
    <row r="14" spans="1:7">
      <c r="A14" s="25">
        <v>11</v>
      </c>
      <c r="B14" s="26">
        <v>343716.817458823</v>
      </c>
      <c r="C14" s="27"/>
    </row>
    <row r="15" spans="1:7">
      <c r="A15" s="25">
        <v>12</v>
      </c>
      <c r="B15" s="26">
        <v>316322.477458823</v>
      </c>
      <c r="C15" s="27"/>
    </row>
    <row r="16" spans="1:7">
      <c r="A16" s="25" t="s">
        <v>57</v>
      </c>
      <c r="B16" s="26">
        <v>4004791.70094118</v>
      </c>
      <c r="C16" s="27"/>
    </row>
    <row r="21" spans="1:2">
      <c r="A21" t="s">
        <v>4</v>
      </c>
      <c r="B21" s="28">
        <f>GETPIVOTDATA("测算项目预测收入",$G$3)/10000</f>
        <v>400.479170094118</v>
      </c>
    </row>
    <row r="24" spans="1:2">
      <c r="A24">
        <v>1</v>
      </c>
      <c r="B24" s="29">
        <f>GETPIVOTDATA("测算项目预测收入",$A$3,"月份",1)/10000</f>
        <v>20.1856235294118</v>
      </c>
    </row>
    <row r="25" spans="1:2">
      <c r="A25">
        <v>2</v>
      </c>
      <c r="B25" s="29">
        <f>GETPIVOTDATA("测算项目预测收入",$A$3,"月份",2)/10000</f>
        <v>34.0968941176471</v>
      </c>
    </row>
    <row r="26" spans="1:2">
      <c r="A26">
        <v>3</v>
      </c>
      <c r="B26" s="29">
        <f>GETPIVOTDATA("测算项目预测收入",$A$3,"月份",3)/10000</f>
        <v>30.2714117647059</v>
      </c>
    </row>
    <row r="27" spans="1:2">
      <c r="A27">
        <v>4</v>
      </c>
      <c r="B27" s="29">
        <f>GETPIVOTDATA("测算项目预测收入",$A$3,"月份",4)/10000</f>
        <v>32.7380752941176</v>
      </c>
    </row>
    <row r="28" spans="1:2">
      <c r="A28">
        <v>5</v>
      </c>
      <c r="B28" s="29">
        <f>GETPIVOTDATA("测算项目预测收入",$A$3,"月份",5)/10000</f>
        <v>33.0171435294118</v>
      </c>
    </row>
    <row r="29" spans="1:2">
      <c r="A29">
        <v>6</v>
      </c>
      <c r="B29" s="29">
        <f>GETPIVOTDATA("测算项目预测收入",$A$3,"月份",6)/10000</f>
        <v>43.9495011764706</v>
      </c>
    </row>
    <row r="30" spans="1:2">
      <c r="A30">
        <v>7</v>
      </c>
      <c r="B30" s="29">
        <f>GETPIVOTDATA("测算项目预测收入",$A$3,"月份",7)/10000</f>
        <v>31.7345346823529</v>
      </c>
    </row>
    <row r="31" spans="1:2">
      <c r="A31">
        <v>8</v>
      </c>
      <c r="B31" s="29">
        <f>GETPIVOTDATA("测算项目预测收入",$A$3,"月份",8)/10000</f>
        <v>38.5148205411765</v>
      </c>
    </row>
    <row r="32" spans="1:2">
      <c r="A32">
        <v>9</v>
      </c>
      <c r="B32" s="29">
        <f>GETPIVOTDATA("测算项目预测收入",$A$3,"月份",9)/10000</f>
        <v>34.8015142541176</v>
      </c>
    </row>
    <row r="33" spans="1:2">
      <c r="A33">
        <v>10</v>
      </c>
      <c r="B33" s="29">
        <f>GETPIVOTDATA("测算项目预测收入",$A$3,"月份",10)/10000</f>
        <v>35.1657217129412</v>
      </c>
    </row>
    <row r="34" spans="1:2">
      <c r="A34">
        <v>11</v>
      </c>
      <c r="B34" s="29">
        <f>GETPIVOTDATA("测算项目预测收入",$A$3,"月份",11)/10000</f>
        <v>34.3716817458823</v>
      </c>
    </row>
    <row r="35" spans="1:2">
      <c r="A35">
        <v>12</v>
      </c>
      <c r="B35" s="29">
        <f>GETPIVOTDATA("测算项目预测收入",$A$3,"月份",12)/10000</f>
        <v>31.6322477458823</v>
      </c>
    </row>
    <row r="38" spans="1:2">
      <c r="A38" t="s">
        <v>58</v>
      </c>
      <c r="B38" s="4">
        <f>B21*10000/项目看板!$C$38/365</f>
        <v>27.5679197421434</v>
      </c>
    </row>
  </sheetData>
  <mergeCells count="1">
    <mergeCell ref="C3:C16"/>
  </mergeCells>
  <pageMargins left="0.7" right="0.7" top="0.75" bottom="0.75" header="0.3" footer="0.3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A1" sqref="A1:K13"/>
    </sheetView>
  </sheetViews>
  <sheetFormatPr defaultColWidth="9" defaultRowHeight="14.25"/>
  <cols>
    <col min="3" max="4" width="10.25" customWidth="1"/>
    <col min="6" max="6" width="10.25" customWidth="1"/>
    <col min="7" max="7" width="12.125" customWidth="1"/>
    <col min="8" max="8" width="10.25" customWidth="1"/>
    <col min="10" max="10" width="12.125" customWidth="1"/>
  </cols>
  <sheetData>
    <row r="1" spans="1:11">
      <c r="A1" t="s">
        <v>0</v>
      </c>
      <c r="B1" t="s">
        <v>1</v>
      </c>
      <c r="C1" t="s">
        <v>24</v>
      </c>
      <c r="D1" t="s">
        <v>25</v>
      </c>
      <c r="E1" t="s">
        <v>2</v>
      </c>
      <c r="F1" t="s">
        <v>3</v>
      </c>
      <c r="G1" t="s">
        <v>26</v>
      </c>
      <c r="H1" t="s">
        <v>27</v>
      </c>
      <c r="I1" t="s">
        <v>4</v>
      </c>
      <c r="J1" t="s">
        <v>28</v>
      </c>
      <c r="K1" t="s">
        <v>29</v>
      </c>
    </row>
    <row r="2" spans="1:11">
      <c r="A2">
        <v>2021</v>
      </c>
      <c r="B2">
        <v>12</v>
      </c>
      <c r="C2" t="s">
        <v>30</v>
      </c>
      <c r="D2" t="s">
        <v>33</v>
      </c>
      <c r="E2" t="s">
        <v>35</v>
      </c>
      <c r="F2">
        <v>183737</v>
      </c>
      <c r="G2">
        <v>2128</v>
      </c>
      <c r="H2">
        <v>124436</v>
      </c>
      <c r="I2">
        <v>310301</v>
      </c>
      <c r="J2">
        <v>273217</v>
      </c>
      <c r="K2">
        <v>-0.119509766323666</v>
      </c>
    </row>
    <row r="3" spans="1:11">
      <c r="A3">
        <v>2021</v>
      </c>
      <c r="B3">
        <v>11</v>
      </c>
      <c r="C3" t="s">
        <v>30</v>
      </c>
      <c r="D3" t="s">
        <v>33</v>
      </c>
      <c r="E3" t="s">
        <v>35</v>
      </c>
      <c r="F3">
        <v>151082</v>
      </c>
      <c r="G3">
        <v>11920</v>
      </c>
      <c r="H3">
        <v>63336</v>
      </c>
      <c r="I3">
        <v>226338</v>
      </c>
      <c r="J3">
        <v>248336</v>
      </c>
      <c r="K3">
        <v>0.0971909268439237</v>
      </c>
    </row>
    <row r="4" spans="1:11">
      <c r="A4">
        <v>2021</v>
      </c>
      <c r="B4">
        <v>10</v>
      </c>
      <c r="C4" t="s">
        <v>30</v>
      </c>
      <c r="D4" t="s">
        <v>33</v>
      </c>
      <c r="E4" t="s">
        <v>35</v>
      </c>
      <c r="F4">
        <v>137767</v>
      </c>
      <c r="G4">
        <v>20300</v>
      </c>
      <c r="H4">
        <v>61586</v>
      </c>
      <c r="I4">
        <v>219653</v>
      </c>
      <c r="J4">
        <v>229148</v>
      </c>
      <c r="K4">
        <v>0.0432272721064588</v>
      </c>
    </row>
    <row r="5" spans="1:11">
      <c r="A5">
        <v>2021</v>
      </c>
      <c r="B5">
        <v>9</v>
      </c>
      <c r="C5" t="s">
        <v>30</v>
      </c>
      <c r="D5" t="s">
        <v>33</v>
      </c>
      <c r="E5" t="s">
        <v>35</v>
      </c>
      <c r="F5">
        <v>146347</v>
      </c>
      <c r="G5">
        <v>4208</v>
      </c>
      <c r="H5">
        <v>89444.26</v>
      </c>
      <c r="I5">
        <v>239999.26</v>
      </c>
      <c r="J5">
        <v>198597</v>
      </c>
      <c r="K5">
        <v>-0.172509948572341</v>
      </c>
    </row>
    <row r="6" spans="1:11">
      <c r="A6">
        <v>2021</v>
      </c>
      <c r="B6">
        <v>8</v>
      </c>
      <c r="C6" t="s">
        <v>30</v>
      </c>
      <c r="D6" t="s">
        <v>33</v>
      </c>
      <c r="E6" t="s">
        <v>35</v>
      </c>
      <c r="F6">
        <v>139933</v>
      </c>
      <c r="G6">
        <v>20512</v>
      </c>
      <c r="H6">
        <v>91344.34</v>
      </c>
      <c r="I6">
        <v>251789.34</v>
      </c>
      <c r="J6">
        <v>182679</v>
      </c>
      <c r="K6">
        <v>-0.274476830512364</v>
      </c>
    </row>
    <row r="7" spans="1:11">
      <c r="A7">
        <v>2021</v>
      </c>
      <c r="B7">
        <v>7</v>
      </c>
      <c r="C7" t="s">
        <v>30</v>
      </c>
      <c r="D7" t="s">
        <v>33</v>
      </c>
      <c r="E7" t="s">
        <v>35</v>
      </c>
      <c r="F7">
        <v>108771</v>
      </c>
      <c r="G7">
        <v>4888</v>
      </c>
      <c r="H7">
        <v>87744.34</v>
      </c>
      <c r="I7">
        <v>201403.34</v>
      </c>
      <c r="J7">
        <v>165680</v>
      </c>
      <c r="K7">
        <v>-0.177372132954697</v>
      </c>
    </row>
    <row r="8" spans="1:11">
      <c r="A8">
        <v>2021</v>
      </c>
      <c r="B8">
        <v>6</v>
      </c>
      <c r="C8" t="s">
        <v>30</v>
      </c>
      <c r="D8" t="s">
        <v>33</v>
      </c>
      <c r="E8" t="s">
        <v>35</v>
      </c>
      <c r="F8">
        <v>151070</v>
      </c>
      <c r="G8">
        <v>5440</v>
      </c>
      <c r="H8">
        <v>145944.34</v>
      </c>
      <c r="I8">
        <v>302454.34</v>
      </c>
      <c r="J8">
        <v>219046</v>
      </c>
      <c r="K8">
        <v>-0.275771675155992</v>
      </c>
    </row>
    <row r="9" spans="1:11">
      <c r="A9">
        <v>2021</v>
      </c>
      <c r="B9">
        <v>5</v>
      </c>
      <c r="C9" t="s">
        <v>30</v>
      </c>
      <c r="D9" t="s">
        <v>33</v>
      </c>
      <c r="E9" t="s">
        <v>35</v>
      </c>
      <c r="F9">
        <v>125915</v>
      </c>
      <c r="G9">
        <v>16256</v>
      </c>
      <c r="H9">
        <v>144094.34</v>
      </c>
      <c r="I9">
        <v>286265.34</v>
      </c>
      <c r="J9">
        <v>179778</v>
      </c>
      <c r="K9">
        <v>-0.371988240001392</v>
      </c>
    </row>
    <row r="10" spans="1:11">
      <c r="A10">
        <v>2021</v>
      </c>
      <c r="B10">
        <v>4</v>
      </c>
      <c r="C10" t="s">
        <v>30</v>
      </c>
      <c r="D10" t="s">
        <v>33</v>
      </c>
      <c r="E10" t="s">
        <v>35</v>
      </c>
      <c r="F10">
        <v>141445</v>
      </c>
      <c r="G10">
        <v>17176</v>
      </c>
      <c r="H10">
        <v>121044.34</v>
      </c>
      <c r="I10">
        <v>279665.34</v>
      </c>
      <c r="J10">
        <v>162372</v>
      </c>
      <c r="K10">
        <v>-0.419406065835688</v>
      </c>
    </row>
    <row r="11" spans="1:11">
      <c r="A11">
        <v>2021</v>
      </c>
      <c r="B11">
        <v>3</v>
      </c>
      <c r="C11" t="s">
        <v>30</v>
      </c>
      <c r="D11" t="s">
        <v>33</v>
      </c>
      <c r="E11" t="s">
        <v>35</v>
      </c>
      <c r="F11">
        <v>131270</v>
      </c>
      <c r="G11">
        <v>14000</v>
      </c>
      <c r="H11">
        <v>138994.34</v>
      </c>
      <c r="I11">
        <v>284264.34</v>
      </c>
      <c r="J11">
        <v>113048</v>
      </c>
      <c r="K11">
        <v>-0.602313818187677</v>
      </c>
    </row>
    <row r="12" spans="1:11">
      <c r="A12">
        <v>2021</v>
      </c>
      <c r="B12">
        <v>2</v>
      </c>
      <c r="C12" t="s">
        <v>30</v>
      </c>
      <c r="D12" t="s">
        <v>33</v>
      </c>
      <c r="E12" t="s">
        <v>35</v>
      </c>
      <c r="F12">
        <v>124146.05</v>
      </c>
      <c r="G12">
        <v>12000</v>
      </c>
      <c r="H12">
        <v>171327.6</v>
      </c>
      <c r="I12">
        <v>307473.65</v>
      </c>
      <c r="J12">
        <v>78002</v>
      </c>
      <c r="K12">
        <v>-0.746313220661348</v>
      </c>
    </row>
    <row r="13" spans="1:11">
      <c r="A13">
        <v>2021</v>
      </c>
      <c r="B13">
        <v>1</v>
      </c>
      <c r="C13" t="s">
        <v>30</v>
      </c>
      <c r="D13" t="s">
        <v>33</v>
      </c>
      <c r="E13" t="s">
        <v>35</v>
      </c>
      <c r="F13">
        <v>111050</v>
      </c>
      <c r="G13">
        <v>6000</v>
      </c>
      <c r="H13">
        <v>87577.68</v>
      </c>
      <c r="I13">
        <v>204627.68</v>
      </c>
      <c r="J13">
        <v>159272</v>
      </c>
      <c r="K13">
        <v>-0.221649778759159</v>
      </c>
    </row>
  </sheetData>
  <pageMargins left="0.7" right="0.7" top="0.75" bottom="0.75" header="0.3" footer="0.3"/>
  <headerFooter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8:W45"/>
  <sheetViews>
    <sheetView tabSelected="1" zoomScale="76" zoomScaleNormal="76" workbookViewId="0">
      <selection activeCell="X39" sqref="X39"/>
    </sheetView>
  </sheetViews>
  <sheetFormatPr defaultColWidth="9" defaultRowHeight="14.25"/>
  <cols>
    <col min="7" max="7" width="11.5" customWidth="1"/>
    <col min="10" max="10" width="11.375" customWidth="1"/>
    <col min="12" max="12" width="10.75" customWidth="1"/>
    <col min="13" max="13" width="9.625" customWidth="1"/>
    <col min="15" max="15" width="11" customWidth="1"/>
    <col min="16" max="17" width="9.125" customWidth="1"/>
    <col min="18" max="18" width="13.25" customWidth="1"/>
    <col min="19" max="19" width="12.125" customWidth="1"/>
    <col min="22" max="22" width="12.625" customWidth="1"/>
  </cols>
  <sheetData>
    <row r="28" customHeight="1" spans="1:23">
      <c r="A28" s="1"/>
      <c r="B28" s="1"/>
      <c r="C28" s="1"/>
    </row>
    <row r="29" customHeight="1" spans="1:23">
      <c r="A29" s="1"/>
      <c r="B29" s="1"/>
      <c r="C29" s="1"/>
    </row>
    <row r="30" customHeight="1" spans="1:23">
      <c r="A30" s="2"/>
      <c r="B30" s="3"/>
      <c r="C30" s="3"/>
    </row>
    <row r="31" customHeight="1" spans="1:23">
      <c r="A31" s="3"/>
      <c r="B31" s="3"/>
      <c r="C31" s="3"/>
      <c r="W31" s="4">
        <f>(NPER(N44/12,-1*(('透视表（刷新）'!G4*(1-L44)*P44-R40)/12)*Q44,R37)/12)*R44</f>
        <v>4.92974118640944</v>
      </c>
    </row>
    <row r="32" ht="16.5" spans="1:23">
      <c r="A32" s="5"/>
      <c r="B32" s="5"/>
      <c r="C32" s="5"/>
    </row>
    <row r="33" customHeight="1" spans="1:19">
      <c r="A33" s="2"/>
      <c r="B33" s="3"/>
      <c r="C33" s="3"/>
    </row>
    <row r="34" customHeight="1" spans="1:19">
      <c r="A34" s="3"/>
      <c r="B34" s="3"/>
      <c r="C34" s="3"/>
    </row>
    <row r="35" ht="51.75" customHeight="1" spans="1:19">
      <c r="A35" s="6" t="s">
        <v>59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ht="50.25" customHeight="1" spans="1:19">
      <c r="A36" s="8" t="s">
        <v>60</v>
      </c>
      <c r="B36" s="9"/>
      <c r="C36" s="10" t="s">
        <v>61</v>
      </c>
      <c r="D36" s="11"/>
      <c r="E36" s="10" t="s">
        <v>62</v>
      </c>
      <c r="F36" s="11"/>
      <c r="G36" s="10" t="s">
        <v>63</v>
      </c>
      <c r="H36" s="11"/>
      <c r="I36" s="12" t="s">
        <v>64</v>
      </c>
      <c r="J36" s="13"/>
      <c r="K36" s="14" t="s">
        <v>65</v>
      </c>
      <c r="L36" s="11" t="s">
        <v>66</v>
      </c>
      <c r="M36" s="11" t="s">
        <v>67</v>
      </c>
      <c r="N36" s="11" t="s">
        <v>68</v>
      </c>
      <c r="O36" s="11" t="s">
        <v>69</v>
      </c>
      <c r="P36" s="11" t="s">
        <v>70</v>
      </c>
      <c r="Q36" s="11" t="s">
        <v>71</v>
      </c>
      <c r="R36" s="11" t="s">
        <v>72</v>
      </c>
      <c r="S36" s="15"/>
    </row>
    <row r="37" customHeight="1" spans="1:19">
      <c r="A37" s="9"/>
      <c r="B37" s="9"/>
      <c r="C37" s="11"/>
      <c r="D37" s="11"/>
      <c r="E37" s="11"/>
      <c r="F37" s="11"/>
      <c r="G37" s="11"/>
      <c r="H37" s="11"/>
      <c r="I37" s="13"/>
      <c r="J37" s="13"/>
      <c r="K37" s="16"/>
      <c r="L37" s="11">
        <v>10000000</v>
      </c>
      <c r="M37" s="17"/>
      <c r="N37" s="11"/>
      <c r="O37" s="11"/>
      <c r="P37" s="11"/>
      <c r="Q37" s="11"/>
      <c r="R37" s="16">
        <f>SUM(L37:Q38)</f>
        <v>10000000</v>
      </c>
    </row>
    <row r="38" customHeight="1" spans="1:19">
      <c r="A38" s="9"/>
      <c r="B38" s="9"/>
      <c r="C38" s="11">
        <v>398</v>
      </c>
      <c r="D38" s="11"/>
      <c r="E38" s="11">
        <v>4</v>
      </c>
      <c r="F38" s="11"/>
      <c r="G38" s="11">
        <v>1</v>
      </c>
      <c r="H38" s="11"/>
      <c r="I38" s="13"/>
      <c r="J38" s="13"/>
      <c r="K38" s="16"/>
      <c r="L38" s="11"/>
      <c r="M38" s="18"/>
      <c r="N38" s="11"/>
      <c r="O38" s="11"/>
      <c r="P38" s="11"/>
      <c r="Q38" s="11"/>
      <c r="R38" s="16"/>
    </row>
    <row r="39" ht="34.5" customHeight="1" spans="1:19">
      <c r="A39" s="9"/>
      <c r="B39" s="9"/>
      <c r="C39" s="11"/>
      <c r="D39" s="11"/>
      <c r="E39" s="11"/>
      <c r="F39" s="11"/>
      <c r="G39" s="11"/>
      <c r="H39" s="11"/>
      <c r="I39" s="13"/>
      <c r="J39" s="13"/>
      <c r="K39" s="19" t="s">
        <v>73</v>
      </c>
      <c r="L39" s="11" t="s">
        <v>74</v>
      </c>
      <c r="M39" s="11" t="s">
        <v>75</v>
      </c>
      <c r="N39" s="11" t="s">
        <v>76</v>
      </c>
      <c r="O39" s="11" t="s">
        <v>77</v>
      </c>
      <c r="P39" s="11" t="s">
        <v>78</v>
      </c>
      <c r="Q39" s="11" t="s">
        <v>79</v>
      </c>
      <c r="R39" s="11" t="s">
        <v>80</v>
      </c>
    </row>
    <row r="40" spans="1:19">
      <c r="A40" s="9"/>
      <c r="B40" s="9"/>
      <c r="C40" s="11"/>
      <c r="D40" s="11"/>
      <c r="E40" s="11"/>
      <c r="F40" s="11"/>
      <c r="G40" s="11"/>
      <c r="H40" s="11"/>
      <c r="I40" s="13"/>
      <c r="J40" s="13"/>
      <c r="K40" s="20"/>
      <c r="L40" s="11">
        <v>480000</v>
      </c>
      <c r="M40" s="11">
        <v>67500</v>
      </c>
      <c r="N40" s="11">
        <v>90000</v>
      </c>
      <c r="O40" s="11">
        <v>18750</v>
      </c>
      <c r="P40" s="11"/>
      <c r="Q40" s="11">
        <v>800000</v>
      </c>
      <c r="R40" s="20">
        <f>SUM(L40:Q41)</f>
        <v>1456250</v>
      </c>
    </row>
    <row r="41" spans="1:19">
      <c r="A41" s="9"/>
      <c r="B41" s="9"/>
      <c r="C41" s="11"/>
      <c r="D41" s="11"/>
      <c r="E41" s="11"/>
      <c r="F41" s="11"/>
      <c r="G41" s="11"/>
      <c r="H41" s="11"/>
      <c r="I41" s="13"/>
      <c r="J41" s="13"/>
      <c r="K41" s="20"/>
      <c r="L41" s="11"/>
      <c r="M41" s="11"/>
      <c r="N41" s="11"/>
      <c r="O41" s="11"/>
      <c r="P41" s="11"/>
      <c r="Q41" s="11"/>
      <c r="R41" s="20"/>
    </row>
    <row r="42" customHeight="1" spans="1:19">
      <c r="A42" s="9"/>
      <c r="B42" s="9"/>
      <c r="C42" s="11"/>
      <c r="D42" s="11"/>
      <c r="E42" s="11"/>
      <c r="F42" s="11"/>
      <c r="G42" s="11"/>
      <c r="H42" s="11"/>
      <c r="I42" s="13"/>
      <c r="J42" s="13"/>
      <c r="K42" s="21" t="s">
        <v>81</v>
      </c>
      <c r="L42" s="11" t="s">
        <v>82</v>
      </c>
      <c r="M42" s="11"/>
      <c r="N42" s="11" t="s">
        <v>83</v>
      </c>
      <c r="O42" s="11"/>
      <c r="P42" s="11" t="s">
        <v>84</v>
      </c>
      <c r="Q42" s="11"/>
      <c r="R42" s="11" t="s">
        <v>85</v>
      </c>
    </row>
    <row r="43" ht="16.5" spans="1:19">
      <c r="A43" s="9"/>
      <c r="B43" s="9"/>
      <c r="C43" s="11"/>
      <c r="D43" s="11"/>
      <c r="E43" s="11"/>
      <c r="F43" s="11"/>
      <c r="G43" s="11"/>
      <c r="H43" s="11"/>
      <c r="I43" s="13"/>
      <c r="J43" s="13"/>
      <c r="K43" s="21"/>
      <c r="L43" s="11"/>
      <c r="M43" s="11"/>
      <c r="N43" s="11"/>
      <c r="O43" s="11"/>
      <c r="P43" s="11" t="s">
        <v>86</v>
      </c>
      <c r="Q43" s="11" t="s">
        <v>87</v>
      </c>
      <c r="R43" s="11"/>
    </row>
    <row r="44" spans="1:19">
      <c r="A44" s="9"/>
      <c r="B44" s="9"/>
      <c r="C44" s="11"/>
      <c r="D44" s="11"/>
      <c r="E44" s="11"/>
      <c r="F44" s="11"/>
      <c r="G44" s="11"/>
      <c r="H44" s="11"/>
      <c r="I44" s="13"/>
      <c r="J44" s="13"/>
      <c r="K44" s="21"/>
      <c r="L44" s="11">
        <v>0.05</v>
      </c>
      <c r="M44" s="11"/>
      <c r="N44" s="22">
        <v>0.06</v>
      </c>
      <c r="O44" s="22"/>
      <c r="P44" s="11">
        <v>1</v>
      </c>
      <c r="Q44" s="11">
        <v>1</v>
      </c>
      <c r="R44" s="11">
        <v>1</v>
      </c>
    </row>
    <row r="45" ht="16.5" spans="1:19">
      <c r="A45" s="11" t="s">
        <v>88</v>
      </c>
      <c r="B45" s="11"/>
      <c r="C45" s="23" t="s">
        <v>89</v>
      </c>
      <c r="D45" s="23"/>
      <c r="E45" s="23"/>
      <c r="F45" s="23"/>
      <c r="G45" s="23"/>
      <c r="H45" s="23"/>
      <c r="I45" s="13"/>
      <c r="J45" s="13"/>
      <c r="K45" s="21"/>
      <c r="L45" s="11"/>
      <c r="M45" s="11"/>
      <c r="N45" s="22"/>
      <c r="O45" s="22"/>
      <c r="P45" s="11"/>
      <c r="Q45" s="11"/>
      <c r="R45" s="11"/>
    </row>
  </sheetData>
  <mergeCells count="37">
    <mergeCell ref="A35:R35"/>
    <mergeCell ref="P42:Q42"/>
    <mergeCell ref="A45:B45"/>
    <mergeCell ref="C45:H45"/>
    <mergeCell ref="K36:K38"/>
    <mergeCell ref="K39:K41"/>
    <mergeCell ref="K42:K45"/>
    <mergeCell ref="L37:L38"/>
    <mergeCell ref="L40:L41"/>
    <mergeCell ref="M37:M38"/>
    <mergeCell ref="M40:M41"/>
    <mergeCell ref="N37:N38"/>
    <mergeCell ref="N40:N41"/>
    <mergeCell ref="O37:O38"/>
    <mergeCell ref="O40:O41"/>
    <mergeCell ref="P37:P38"/>
    <mergeCell ref="P40:P41"/>
    <mergeCell ref="P44:P45"/>
    <mergeCell ref="Q37:Q38"/>
    <mergeCell ref="Q40:Q41"/>
    <mergeCell ref="Q44:Q45"/>
    <mergeCell ref="R37:R38"/>
    <mergeCell ref="R40:R41"/>
    <mergeCell ref="R42:R43"/>
    <mergeCell ref="R44:R45"/>
    <mergeCell ref="I36:J45"/>
    <mergeCell ref="L44:M45"/>
    <mergeCell ref="N44:O45"/>
    <mergeCell ref="A36:B44"/>
    <mergeCell ref="C36:D37"/>
    <mergeCell ref="E36:F37"/>
    <mergeCell ref="G36:H37"/>
    <mergeCell ref="C38:D44"/>
    <mergeCell ref="E38:F44"/>
    <mergeCell ref="G38:H44"/>
    <mergeCell ref="L42:M43"/>
    <mergeCell ref="N42:O43"/>
  </mergeCells>
  <pageMargins left="0.7" right="0.7" top="0.75" bottom="0.75" header="0.3" footer="0.3"/>
  <pageSetup paperSize="9" orientation="portrait"/>
  <headerFooter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数据表（勿修改）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</vt:lpstr>
      <vt:lpstr>Sheet3</vt:lpstr>
      <vt:lpstr>Sheet4</vt:lpstr>
      <vt:lpstr>Sheet14</vt:lpstr>
      <vt:lpstr>Sheet15</vt:lpstr>
      <vt:lpstr>Sheet16</vt:lpstr>
      <vt:lpstr>Sheet17</vt:lpstr>
      <vt:lpstr>Sheet18</vt:lpstr>
      <vt:lpstr>Sheet2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透视表（刷新）</vt:lpstr>
      <vt:lpstr>Sheet5</vt:lpstr>
      <vt:lpstr>项目看板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Xiang(XIZIIPARK-施翔)</dc:creator>
  <cp:lastModifiedBy>瞬间的永恒</cp:lastModifiedBy>
  <dcterms:created xsi:type="dcterms:W3CDTF">2023-06-06T02:30:00Z</dcterms:created>
  <dcterms:modified xsi:type="dcterms:W3CDTF">2026-08-03T07:07:49Z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50C532F80F12482DBC90E38DEBA633BC_13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